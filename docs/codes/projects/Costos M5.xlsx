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casac\OneDrive - Universidad Técnica Federico Santa María\Escritorio\"/>
    </mc:Choice>
  </mc:AlternateContent>
  <xr:revisionPtr revIDLastSave="0" documentId="13_ncr:1_{69D3BEAE-1F02-4F3C-B7B8-81EA978B0B77}" xr6:coauthVersionLast="47" xr6:coauthVersionMax="47" xr10:uidLastSave="{00000000-0000-0000-0000-000000000000}"/>
  <bookViews>
    <workbookView xWindow="-120" yWindow="-120" windowWidth="20730" windowHeight="11160" tabRatio="735" xr2:uid="{00000000-000D-0000-FFFF-FFFF00000000}"/>
  </bookViews>
  <sheets>
    <sheet name="PERSONAL" sheetId="21" r:id="rId1"/>
    <sheet name="EQUIPAMIENTO" sheetId="15" r:id="rId2"/>
    <sheet name="INFRAESTRUCTURA Y MOBILIARIO" sheetId="5" r:id="rId3"/>
    <sheet name="GASTOS OPERACION" sheetId="12" r:id="rId4"/>
    <sheet name="RESUMEN GASTOS OPERACION" sheetId="20" r:id="rId5"/>
    <sheet name="TOTAL" sheetId="3" r:id="rId6"/>
    <sheet name="REITEMIZACIONES FONDEF" sheetId="22" r:id="rId7"/>
    <sheet name="REITEMIZACIONES OTROS PPTOS" sheetId="23" r:id="rId8"/>
  </sheets>
  <definedNames>
    <definedName name="_xlnm.Print_Area" localSheetId="1">EQUIPAMIENTO!$A$1:$G$32</definedName>
    <definedName name="_xlnm.Print_Area" localSheetId="3">'GASTOS OPERACION'!$A$5:$E$20</definedName>
    <definedName name="_xlnm.Print_Area" localSheetId="2">'INFRAESTRUCTURA Y MOBILIARIO'!#REF!</definedName>
    <definedName name="_xlnm.Print_Area" localSheetId="0">PERSONAL!$A$1:$F$50</definedName>
    <definedName name="_xlnm.Print_Area" localSheetId="5">TOTAL!$A$3:$B$21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3" l="1"/>
  <c r="B7" i="3"/>
  <c r="B8" i="20"/>
  <c r="F13" i="21"/>
  <c r="G5" i="15"/>
  <c r="G25" i="15" s="1"/>
  <c r="G64" i="12"/>
  <c r="G65" i="12"/>
  <c r="G66" i="12"/>
  <c r="G67" i="12"/>
  <c r="G68" i="12"/>
  <c r="G69" i="12"/>
  <c r="G70" i="12"/>
  <c r="G71" i="12"/>
  <c r="G63" i="12"/>
  <c r="F14" i="21"/>
  <c r="F16" i="21"/>
  <c r="F17" i="21"/>
  <c r="F18" i="21"/>
  <c r="F19" i="21"/>
  <c r="F20" i="21"/>
  <c r="F21" i="21"/>
  <c r="F22" i="21"/>
  <c r="F23" i="21"/>
  <c r="F24" i="21"/>
  <c r="F15" i="21"/>
  <c r="C53" i="23"/>
  <c r="B53" i="23"/>
  <c r="D53" i="23"/>
  <c r="C40" i="23"/>
  <c r="D40" i="23"/>
  <c r="B40" i="23"/>
  <c r="C27" i="23"/>
  <c r="B27" i="23"/>
  <c r="C14" i="23"/>
  <c r="B14" i="23"/>
  <c r="D14" i="23"/>
  <c r="C53" i="22"/>
  <c r="B53" i="22"/>
  <c r="C40" i="22"/>
  <c r="B40" i="22"/>
  <c r="C27" i="22"/>
  <c r="B27" i="22"/>
  <c r="C14" i="22"/>
  <c r="B14" i="22"/>
  <c r="D14" i="22"/>
  <c r="E27" i="12"/>
  <c r="E28" i="12"/>
  <c r="E29" i="12"/>
  <c r="E26" i="12"/>
  <c r="E10" i="12"/>
  <c r="E11" i="12"/>
  <c r="E12" i="12"/>
  <c r="E13" i="12"/>
  <c r="E14" i="12"/>
  <c r="E15" i="12"/>
  <c r="E16" i="12"/>
  <c r="E17" i="12"/>
  <c r="E18" i="12"/>
  <c r="E9" i="12"/>
  <c r="G6" i="5"/>
  <c r="G7" i="5"/>
  <c r="G8" i="5"/>
  <c r="G9" i="5"/>
  <c r="G10" i="5"/>
  <c r="G11" i="5"/>
  <c r="G12" i="5"/>
  <c r="G5" i="5"/>
  <c r="G6" i="15"/>
  <c r="G7" i="15"/>
  <c r="G8" i="15"/>
  <c r="G9" i="15"/>
  <c r="G10" i="15"/>
  <c r="G11" i="15"/>
  <c r="G12" i="15"/>
  <c r="G13" i="15"/>
  <c r="G14" i="15"/>
  <c r="G15" i="15"/>
  <c r="G16" i="15"/>
  <c r="G17" i="15"/>
  <c r="G18" i="15"/>
  <c r="G19" i="15"/>
  <c r="G20" i="15"/>
  <c r="G21" i="15"/>
  <c r="G22" i="15"/>
  <c r="G23" i="15"/>
  <c r="G24" i="15"/>
  <c r="D27" i="23"/>
  <c r="D40" i="22"/>
  <c r="D27" i="22"/>
  <c r="D53" i="22"/>
  <c r="G13" i="5" l="1"/>
  <c r="B8" i="3"/>
  <c r="G72" i="12"/>
  <c r="E30" i="12"/>
  <c r="E19" i="12"/>
  <c r="B7" i="20" s="1"/>
  <c r="B16" i="20" s="1"/>
  <c r="B10" i="3" s="1"/>
  <c r="F25" i="21"/>
  <c r="G73" i="12" l="1"/>
  <c r="B11"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Pedro Cotal Zuniga</author>
    <author>Ivan Munoz Salinas</author>
    <author>Victor Fernandez Gonzalez</author>
  </authors>
  <commentList>
    <comment ref="B9" authorId="0" shapeId="0" xr:uid="{00000000-0006-0000-0000-000001000000}">
      <text>
        <r>
          <rPr>
            <sz val="9"/>
            <color indexed="81"/>
            <rFont val="Tahoma"/>
            <family val="2"/>
          </rPr>
          <t>Indique la institución beneficiaria o empresa asociada a la que se encuentra vinculado el personal ingresado.</t>
        </r>
      </text>
    </comment>
    <comment ref="C9" authorId="0" shapeId="0" xr:uid="{0F1F8419-22F6-45F8-9537-ADE745784D95}">
      <text>
        <r>
          <rPr>
            <sz val="9"/>
            <color indexed="81"/>
            <rFont val="Tahoma"/>
            <family val="2"/>
          </rPr>
          <t>La duración de la jornada ordinaria de trabajo en Chile, no excederá de cuarenta y cinco horas semanales.
Sólo ingresar números enteros. Sin decimales o fraccionados.</t>
        </r>
      </text>
    </comment>
    <comment ref="D9" authorId="1" shapeId="0" xr:uid="{40CD9255-2B08-4607-A13E-B7D27A8ADA15}">
      <text>
        <r>
          <rPr>
            <sz val="9"/>
            <color indexed="81"/>
            <rFont val="Tahoma"/>
            <family val="2"/>
          </rPr>
          <t>Debe indicar el número de meses que el personal participará en el proyecto.</t>
        </r>
      </text>
    </comment>
    <comment ref="E9" authorId="2" shapeId="0" xr:uid="{00000000-0006-0000-0000-000002000000}">
      <text>
        <r>
          <rPr>
            <sz val="9"/>
            <color indexed="81"/>
            <rFont val="Tahoma"/>
            <family val="2"/>
          </rPr>
          <t>Corresponde al pago de personas naturales nacionales o
extranjeras cuyos servicios son contratados exclusivamente para el proyecto, con posterioridad al inicio de este y  para la ejecución de actividades del proyecto.
Indique el monto que se pagará mensualmente.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Pedro Cotal Zuniga</author>
    <author>Victor Fernandez Gonzalez</author>
  </authors>
  <commentList>
    <comment ref="A2" authorId="0" shapeId="0" xr:uid="{00000000-0006-0000-0100-000001000000}">
      <text>
        <r>
          <rPr>
            <sz val="9"/>
            <color indexed="81"/>
            <rFont val="Tahoma"/>
            <family val="2"/>
          </rPr>
          <t>Recuerde que un equipo es considerado como tal sólo en el caso que la entidad beneficiaria lo incluya en el inventario y asegure en la póliza de equipos.</t>
        </r>
      </text>
    </comment>
    <comment ref="B2" authorId="0" shapeId="0" xr:uid="{00000000-0006-0000-0100-000002000000}">
      <text>
        <r>
          <rPr>
            <sz val="9"/>
            <color indexed="81"/>
            <rFont val="Tahoma"/>
            <family val="2"/>
          </rPr>
          <t xml:space="preserve">Indique la institución beneficiaria que ejecuta el gasto o la empresa asociada en el caso de corresponder a un aporte incremental o no incremental.
</t>
        </r>
      </text>
    </comment>
    <comment ref="C2" authorId="1" shapeId="0" xr:uid="{00000000-0006-0000-0100-000003000000}">
      <text>
        <r>
          <rPr>
            <sz val="9"/>
            <color indexed="81"/>
            <rFont val="Tahoma"/>
            <family val="2"/>
          </rPr>
          <t>Caracterice los equipos indicando capacidades, modelo y marca, además indique expresamente la cantidad. No es necesario adjuntar cotizaciones.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Pedro Cotal Zuniga</author>
  </authors>
  <commentList>
    <comment ref="B2" authorId="0" shapeId="0" xr:uid="{00000000-0006-0000-0200-000001000000}">
      <text>
        <r>
          <rPr>
            <sz val="9"/>
            <color indexed="81"/>
            <rFont val="Tahoma"/>
            <family val="2"/>
          </rPr>
          <t xml:space="preserve">Indique la institución beneficiaria que ejecuta el gasto o la empresa asociada en el caso de corresponder a un aporte incremental o no incremental.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Pedro Cotal Zuniga</author>
  </authors>
  <commentList>
    <comment ref="B6" authorId="0" shapeId="0" xr:uid="{00000000-0006-0000-0300-000001000000}">
      <text>
        <r>
          <rPr>
            <sz val="9"/>
            <color indexed="81"/>
            <rFont val="Tahoma"/>
            <family val="2"/>
          </rPr>
          <t xml:space="preserve">Indique la institución beneficiaria que ejecuta el gasto o la empresa asociada en el caso de corresponder a un aporte incremental o no incremental.
</t>
        </r>
      </text>
    </comment>
    <comment ref="B23" authorId="0" shapeId="0" xr:uid="{00000000-0006-0000-0300-000002000000}">
      <text>
        <r>
          <rPr>
            <sz val="9"/>
            <color indexed="81"/>
            <rFont val="Tahoma"/>
            <family val="2"/>
          </rPr>
          <t xml:space="preserve">Indique la institución beneficiaria que ejecuta el gasto o la empresa asociada en el caso de corresponder a un aporte incremental o no incremental.
</t>
        </r>
      </text>
    </comment>
  </commentList>
</comments>
</file>

<file path=xl/sharedStrings.xml><?xml version="1.0" encoding="utf-8"?>
<sst xmlns="http://schemas.openxmlformats.org/spreadsheetml/2006/main" count="222" uniqueCount="86">
  <si>
    <t xml:space="preserve">REMUNERACIONES, HONORARIOS Y PAGOS ADICIONALES </t>
  </si>
  <si>
    <t>ITEM
(Señalar nombre y cargo)</t>
  </si>
  <si>
    <t>INSTITUCIÓN O EMPRESA ASOCIADA</t>
  </si>
  <si>
    <t>HORAS QUE TRABAJARÁ AL MES PARA EL PROYECTO
HH/MES</t>
  </si>
  <si>
    <t>MESES A CONTRATAR 
Nº</t>
  </si>
  <si>
    <t>TOTAL PROYECTO 
$</t>
  </si>
  <si>
    <t>TOTAL
$</t>
  </si>
  <si>
    <t>DIRECTOR(A), DIRECTOR(A) ALTERNO(A), INVESTIGADORES(AS)</t>
  </si>
  <si>
    <t>Universidad Técnica Federico santa María</t>
  </si>
  <si>
    <t>Universidad de Santiago</t>
  </si>
  <si>
    <t>SUBTOTAL</t>
  </si>
  <si>
    <t>EQUIPOS</t>
  </si>
  <si>
    <t>EQUIPAMIENTO</t>
  </si>
  <si>
    <t>NOMBRE DEL EQUIPO
Detalle los equipos individualmente</t>
  </si>
  <si>
    <t>DESCRIPCIÓN</t>
  </si>
  <si>
    <t>COSTO UNITARIO</t>
  </si>
  <si>
    <t>CANTIDAD 
UNIDADES O MESES</t>
  </si>
  <si>
    <t>ADQUISICIÓN EQUIPO 
$/UNIDAD</t>
  </si>
  <si>
    <t>USO UNIDADES EXISTENTES ($/MES)</t>
  </si>
  <si>
    <t>Amazon EC2</t>
  </si>
  <si>
    <t>UTFSM</t>
  </si>
  <si>
    <t xml:space="preserve">Maquina virtuales de amazon para realizar los entrenamientos y calculos del software. </t>
  </si>
  <si>
    <t>Computadores para el proyecto</t>
  </si>
  <si>
    <t>6 Notebooks Lenovo Thinkpad T480 14 Pulg i5-7300U 8gb 256gb SSD Reacondicionado Grado A</t>
  </si>
  <si>
    <t>Mouse Razer DeathAdder</t>
  </si>
  <si>
    <t>Silla de oficina Gamer Profesional Ulrik Negra</t>
  </si>
  <si>
    <t>INFRAESTRUCTURA</t>
  </si>
  <si>
    <t>INFRAESTRUCTURA Y MOBILIARIO</t>
  </si>
  <si>
    <t>NOMBRE DE LA INFRAESTRUCTURA</t>
  </si>
  <si>
    <t>CANTIDAD UNIDADES O MESES</t>
  </si>
  <si>
    <t>CASO ADQUISICIONES O HABILITACIÓN (M$/UNIDAD)</t>
  </si>
  <si>
    <t>Piso de Trabajo y reuniones</t>
  </si>
  <si>
    <t>Lugar de trabajo para investigadores y de reuniones para equipo completo.</t>
  </si>
  <si>
    <t>Laboratorio de Computación</t>
  </si>
  <si>
    <t>Laboratorio con computadores para la parte informática del proyecto</t>
  </si>
  <si>
    <t>MATERIAL FUNGIBLE</t>
  </si>
  <si>
    <t>COSTO UNITARIO
$/UNIDAD</t>
  </si>
  <si>
    <t>CANTIDAD</t>
  </si>
  <si>
    <t>Hojas, luz y agua</t>
  </si>
  <si>
    <t>UFTSM</t>
  </si>
  <si>
    <t>Materiales de Escritorio</t>
  </si>
  <si>
    <t>Comida</t>
  </si>
  <si>
    <t>SOFTWARE</t>
  </si>
  <si>
    <t>DESCRIPCIÓN
Los softwares de uso general no son financiados por ANID</t>
  </si>
  <si>
    <t>SUBCONTRATOS</t>
  </si>
  <si>
    <t>PASAJES</t>
  </si>
  <si>
    <t>PROPIEDAD INTELECTUAL</t>
  </si>
  <si>
    <t>SEMINARIOS, PUBLICACIONES Y DIFUSION</t>
  </si>
  <si>
    <t>ITEM</t>
  </si>
  <si>
    <t>RESUMEN GASTOS DE OPERACIÓN</t>
  </si>
  <si>
    <t>VIATICOS</t>
  </si>
  <si>
    <t>CAPACITACION</t>
  </si>
  <si>
    <t>OTROS GASTOS DE OPERACIÓN</t>
  </si>
  <si>
    <t>COSTO TOTAL DEL PROYECTO</t>
  </si>
  <si>
    <t>COSTO TOTAL 
$</t>
  </si>
  <si>
    <t>INFRAESTRUCTURA Y MOBILILARIO</t>
  </si>
  <si>
    <t>GASTOS DE OPERACIÓN</t>
  </si>
  <si>
    <t>TOTAL</t>
  </si>
  <si>
    <t>HISTORIAL REITEMIZACIONES: En esta hoja deben quedar reflejadas todas la reitemizaciones realizadas por el proyecto al presupuesto del subsidio ANID con su respectiva justificación. El proyecto debe programar estás reitemizaciones con una periodicidad de seis meses.</t>
  </si>
  <si>
    <t>MODIFICACIÓN PRESUPUESTARIA 1</t>
  </si>
  <si>
    <t>FECHA</t>
  </si>
  <si>
    <t>INSTITUCIÓN FINANCIADORA</t>
  </si>
  <si>
    <t>ANID</t>
  </si>
  <si>
    <t>INSTITUCIÓN EJECUTORA</t>
  </si>
  <si>
    <t>PRESUPUESTO ACTUAL</t>
  </si>
  <si>
    <t>PRESUPUESTO MODIFICADO</t>
  </si>
  <si>
    <t>JUSTIFICACIÓN DE LA REITEMIZACIÓN</t>
  </si>
  <si>
    <t>GASTOS EN PERSONAL</t>
  </si>
  <si>
    <t>GASTOS DE ADM. SUPERIOR</t>
  </si>
  <si>
    <t>TOTALES</t>
  </si>
  <si>
    <t>MODIFICACIÓN PRESUPUESTARIA 2</t>
  </si>
  <si>
    <t>MODIFICACIÓN PRESUPUESTARIA 3</t>
  </si>
  <si>
    <t>MODIFICACIÓN PRESUPUESTARIA 4</t>
  </si>
  <si>
    <t>PRESUPUETO MODIFICADO</t>
  </si>
  <si>
    <t>HISTORIAL REITEMIZACIONES: En esta hoja deben quedar reflejadas todas la reitemizaciones realizadas por el proyecto al presupuesto de la Entidad(es) Beneficiaria(s) y Entidad(es) Asociada(s) con su respectiva justificación. El proyecto debe programar estas reitemizaciones con una periodicidad de seis meses.</t>
  </si>
  <si>
    <t>Vicente Moreno</t>
  </si>
  <si>
    <t>Yunis Vidal</t>
  </si>
  <si>
    <t>Nicolas Rodriguez</t>
  </si>
  <si>
    <t>Joaquin Ramirez</t>
  </si>
  <si>
    <t>HONORARIOS O REMUNERACIONES 
$ a pagar por MES</t>
  </si>
  <si>
    <t>Memoria RAM</t>
  </si>
  <si>
    <t>32 GB de memoria RAM</t>
  </si>
  <si>
    <t>Python</t>
  </si>
  <si>
    <t xml:space="preserve">GASTOS EN PERSONAL </t>
  </si>
  <si>
    <t>4 mouse para equipos</t>
  </si>
  <si>
    <t xml:space="preserve">4 sillas para equipo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</si>
</sst>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_-* #,##0.00\ _P_t_s_-;\-* #,##0.00\ _P_t_s_-;_-* &quot;-&quot;??\ _P_t_s_-;_-@_-"/>
  </numFmts>
  <fonts count="10" x14ac:knownFonts="1">
    <font>
      <sz val="10"/>
      <name val="Arial"/>
    </font>
    <font>
      <sz val="10"/>
      <name val="Arial"/>
      <family val="2"/>
    </font>
    <font>
      <sz val="10"/>
      <name val="Arial"/>
      <family val="2"/>
    </font>
    <font>
      <sz val="9"/>
      <color indexed="81"/>
      <name val="Tahoma"/>
      <family val="2"/>
    </font>
    <font>
      <b/>
      <sz val="8"/>
      <name val="Calibri"/>
      <family val="2"/>
      <scheme val="minor"/>
    </font>
    <font>
      <sz val="8"/>
      <name val="Calibri"/>
      <family val="2"/>
      <scheme val="minor"/>
    </font>
    <font>
      <b/>
      <sz val="8"/>
      <color rgb="FFFF0000"/>
      <name val="Calibri"/>
      <family val="2"/>
      <scheme val="minor"/>
    </font>
    <font>
      <b/>
      <sz val="8"/>
      <color theme="1"/>
      <name val="Calibri"/>
      <family val="2"/>
      <scheme val="minor"/>
    </font>
    <font>
      <b/>
      <sz val="10"/>
      <name val="Calibri"/>
      <family val="2"/>
      <scheme val="minor"/>
    </font>
    <font>
      <b/>
      <sz val="9"/>
      <name val="Calibri"/>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2"/>
        <bgColor indexed="64"/>
      </patternFill>
    </fill>
    <fill>
      <patternFill patternType="solid">
        <fgColor theme="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thin">
        <color indexed="64"/>
      </right>
      <top style="thin">
        <color rgb="FF000000"/>
      </top>
      <bottom style="medium">
        <color indexed="64"/>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bottom style="medium">
        <color indexed="64"/>
      </bottom>
      <diagonal/>
    </border>
    <border>
      <left style="thin">
        <color rgb="FF000000"/>
      </left>
      <right/>
      <top/>
      <bottom style="medium">
        <color indexed="64"/>
      </bottom>
      <diagonal/>
    </border>
  </borders>
  <cellStyleXfs count="6">
    <xf numFmtId="0" fontId="0" fillId="0" borderId="0"/>
    <xf numFmtId="165" fontId="1" fillId="0" borderId="0" applyFont="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0" fontId="1" fillId="0" borderId="0"/>
    <xf numFmtId="9" fontId="1" fillId="0" borderId="0" applyFont="0" applyFill="0" applyBorder="0" applyAlignment="0" applyProtection="0"/>
  </cellStyleXfs>
  <cellXfs count="107">
    <xf numFmtId="0" fontId="0" fillId="0" borderId="0" xfId="0"/>
    <xf numFmtId="0" fontId="4" fillId="0" borderId="0" xfId="0" applyFont="1" applyAlignment="1">
      <alignment vertical="center"/>
    </xf>
    <xf numFmtId="0" fontId="4" fillId="0" borderId="0" xfId="0" applyFont="1" applyAlignment="1">
      <alignment horizontal="left" vertical="center" wrapText="1"/>
    </xf>
    <xf numFmtId="0" fontId="5" fillId="0" borderId="0" xfId="0" applyFont="1" applyAlignment="1">
      <alignment vertical="center"/>
    </xf>
    <xf numFmtId="0" fontId="4" fillId="2" borderId="2" xfId="0" applyFont="1" applyFill="1" applyBorder="1" applyAlignment="1">
      <alignment horizontal="left" vertical="center"/>
    </xf>
    <xf numFmtId="0" fontId="4" fillId="2" borderId="0" xfId="0" applyFont="1" applyFill="1" applyAlignment="1">
      <alignment vertical="center"/>
    </xf>
    <xf numFmtId="0" fontId="5" fillId="2" borderId="0" xfId="0" applyFont="1" applyFill="1" applyAlignment="1">
      <alignment vertical="center"/>
    </xf>
    <xf numFmtId="0" fontId="5" fillId="0" borderId="1" xfId="0" applyFont="1" applyBorder="1" applyAlignment="1" applyProtection="1">
      <alignment horizontal="left" vertical="center"/>
      <protection locked="0"/>
    </xf>
    <xf numFmtId="3" fontId="5" fillId="0" borderId="1" xfId="0" applyNumberFormat="1" applyFont="1" applyBorder="1" applyAlignment="1" applyProtection="1">
      <alignment horizontal="right" vertical="center"/>
      <protection locked="0"/>
    </xf>
    <xf numFmtId="3" fontId="5" fillId="0" borderId="1" xfId="0" applyNumberFormat="1" applyFont="1" applyBorder="1" applyAlignment="1">
      <alignment horizontal="right" vertical="center"/>
    </xf>
    <xf numFmtId="0" fontId="4" fillId="2" borderId="3" xfId="0" applyFont="1" applyFill="1" applyBorder="1" applyAlignment="1">
      <alignment vertical="center"/>
    </xf>
    <xf numFmtId="3" fontId="5" fillId="2" borderId="3" xfId="0" applyNumberFormat="1" applyFont="1" applyFill="1" applyBorder="1" applyAlignment="1">
      <alignment horizontal="right" vertical="center"/>
    </xf>
    <xf numFmtId="3" fontId="4" fillId="4" borderId="1" xfId="0" applyNumberFormat="1" applyFont="1" applyFill="1" applyBorder="1" applyAlignment="1">
      <alignment horizontal="right" vertical="center"/>
    </xf>
    <xf numFmtId="3" fontId="5" fillId="0" borderId="0" xfId="0" applyNumberFormat="1" applyFont="1" applyAlignment="1">
      <alignment vertical="center"/>
    </xf>
    <xf numFmtId="3" fontId="4" fillId="0" borderId="0" xfId="0" applyNumberFormat="1" applyFont="1" applyAlignment="1">
      <alignment horizontal="center" vertical="center"/>
    </xf>
    <xf numFmtId="3" fontId="4" fillId="0" borderId="5" xfId="0" applyNumberFormat="1" applyFont="1" applyBorder="1" applyAlignment="1">
      <alignment horizontal="center" vertical="center" wrapText="1"/>
    </xf>
    <xf numFmtId="3" fontId="4" fillId="0" borderId="0" xfId="0" applyNumberFormat="1" applyFont="1" applyAlignment="1">
      <alignment horizontal="center" vertical="center" wrapText="1"/>
    </xf>
    <xf numFmtId="0" fontId="4" fillId="0" borderId="0" xfId="0" applyFont="1" applyAlignment="1">
      <alignment horizontal="center" vertical="center"/>
    </xf>
    <xf numFmtId="0" fontId="4" fillId="0" borderId="6" xfId="0" applyFont="1" applyBorder="1" applyAlignment="1">
      <alignment vertical="center"/>
    </xf>
    <xf numFmtId="0" fontId="5" fillId="0" borderId="7" xfId="0" applyFont="1" applyBorder="1" applyAlignment="1">
      <alignment vertical="center"/>
    </xf>
    <xf numFmtId="0" fontId="5" fillId="0" borderId="6" xfId="0" applyFont="1" applyBorder="1" applyAlignment="1">
      <alignment vertical="center"/>
    </xf>
    <xf numFmtId="0" fontId="4" fillId="0" borderId="5" xfId="0" applyFont="1" applyBorder="1" applyAlignment="1">
      <alignment horizontal="center" vertical="center" wrapText="1"/>
    </xf>
    <xf numFmtId="0" fontId="5" fillId="0" borderId="20" xfId="0" applyFont="1" applyBorder="1" applyAlignment="1">
      <alignment horizontal="left" vertical="center" wrapText="1"/>
    </xf>
    <xf numFmtId="3" fontId="5" fillId="0" borderId="21" xfId="0" applyNumberFormat="1" applyFont="1" applyBorder="1" applyAlignment="1">
      <alignment horizontal="right" vertical="center" wrapText="1"/>
    </xf>
    <xf numFmtId="3" fontId="5" fillId="0" borderId="22" xfId="0" applyNumberFormat="1" applyFont="1" applyBorder="1" applyAlignment="1">
      <alignment horizontal="right" vertical="center" wrapText="1"/>
    </xf>
    <xf numFmtId="0" fontId="5" fillId="0" borderId="8" xfId="0" applyFont="1" applyBorder="1" applyAlignment="1">
      <alignment vertical="center" wrapText="1"/>
    </xf>
    <xf numFmtId="0" fontId="5" fillId="0" borderId="23" xfId="0" applyFont="1" applyBorder="1" applyAlignment="1">
      <alignment horizontal="left" vertical="center" wrapText="1"/>
    </xf>
    <xf numFmtId="3" fontId="5" fillId="0" borderId="24" xfId="0" applyNumberFormat="1" applyFont="1" applyBorder="1" applyAlignment="1">
      <alignment horizontal="right" vertical="center" wrapText="1"/>
    </xf>
    <xf numFmtId="3" fontId="5" fillId="0" borderId="25" xfId="0" applyNumberFormat="1" applyFont="1" applyBorder="1" applyAlignment="1">
      <alignment horizontal="right" vertical="center" wrapText="1"/>
    </xf>
    <xf numFmtId="0" fontId="5" fillId="0" borderId="9" xfId="0" applyFont="1" applyBorder="1" applyAlignment="1">
      <alignment vertical="center" wrapText="1"/>
    </xf>
    <xf numFmtId="3" fontId="5" fillId="0" borderId="26" xfId="0" applyNumberFormat="1" applyFont="1" applyBorder="1" applyAlignment="1">
      <alignment horizontal="right" vertical="center" wrapText="1"/>
    </xf>
    <xf numFmtId="3" fontId="5" fillId="0" borderId="27" xfId="0" applyNumberFormat="1" applyFont="1" applyBorder="1" applyAlignment="1">
      <alignment horizontal="right" vertical="center" wrapText="1"/>
    </xf>
    <xf numFmtId="0" fontId="4" fillId="0" borderId="28" xfId="0" applyFont="1" applyBorder="1" applyAlignment="1">
      <alignment horizontal="left" vertical="center" wrapText="1"/>
    </xf>
    <xf numFmtId="3" fontId="4" fillId="0" borderId="29" xfId="0" applyNumberFormat="1" applyFont="1" applyBorder="1" applyAlignment="1">
      <alignment horizontal="right" vertical="center" wrapText="1"/>
    </xf>
    <xf numFmtId="3" fontId="4" fillId="0" borderId="30" xfId="0" applyNumberFormat="1" applyFont="1" applyBorder="1" applyAlignment="1">
      <alignment horizontal="right" vertical="center" wrapText="1"/>
    </xf>
    <xf numFmtId="0" fontId="5" fillId="0" borderId="10" xfId="0" applyFont="1" applyBorder="1" applyAlignment="1">
      <alignment vertical="center" wrapText="1"/>
    </xf>
    <xf numFmtId="3" fontId="4" fillId="0" borderId="0" xfId="0" applyNumberFormat="1" applyFont="1" applyAlignment="1">
      <alignment horizontal="right" vertical="center" wrapText="1"/>
    </xf>
    <xf numFmtId="0" fontId="5" fillId="0" borderId="0" xfId="0" applyFont="1" applyAlignment="1">
      <alignment vertical="center" wrapText="1"/>
    </xf>
    <xf numFmtId="3" fontId="4" fillId="0" borderId="0" xfId="0" applyNumberFormat="1" applyFont="1" applyAlignment="1">
      <alignment vertical="center"/>
    </xf>
    <xf numFmtId="3" fontId="5" fillId="0" borderId="1" xfId="0" applyNumberFormat="1" applyFont="1" applyBorder="1" applyAlignment="1">
      <alignment vertical="center"/>
    </xf>
    <xf numFmtId="3" fontId="5" fillId="0" borderId="1" xfId="2" applyNumberFormat="1" applyFont="1" applyBorder="1" applyAlignment="1" applyProtection="1">
      <alignment horizontal="right" vertical="center"/>
    </xf>
    <xf numFmtId="3" fontId="4" fillId="0" borderId="1" xfId="0" applyNumberFormat="1" applyFont="1" applyBorder="1" applyAlignment="1">
      <alignment vertical="center"/>
    </xf>
    <xf numFmtId="3" fontId="4" fillId="0" borderId="1" xfId="2" applyNumberFormat="1" applyFont="1" applyBorder="1" applyAlignment="1" applyProtection="1">
      <alignment horizontal="right" vertical="center"/>
    </xf>
    <xf numFmtId="0" fontId="5" fillId="0" borderId="1" xfId="0" applyFont="1" applyBorder="1" applyAlignment="1" applyProtection="1">
      <alignment vertical="center"/>
      <protection locked="0"/>
    </xf>
    <xf numFmtId="3" fontId="5" fillId="0" borderId="1" xfId="0" applyNumberFormat="1" applyFont="1" applyBorder="1" applyAlignment="1" applyProtection="1">
      <alignment vertical="center"/>
      <protection locked="0"/>
    </xf>
    <xf numFmtId="0" fontId="4" fillId="0" borderId="2" xfId="0" applyFont="1" applyBorder="1" applyAlignment="1">
      <alignment vertical="center"/>
    </xf>
    <xf numFmtId="0" fontId="4" fillId="0" borderId="3" xfId="0" applyFont="1" applyBorder="1" applyAlignment="1">
      <alignment vertical="center"/>
    </xf>
    <xf numFmtId="3" fontId="5" fillId="0" borderId="3" xfId="0" applyNumberFormat="1" applyFont="1" applyBorder="1" applyAlignment="1">
      <alignment vertical="center"/>
    </xf>
    <xf numFmtId="3" fontId="5" fillId="0" borderId="4" xfId="0" applyNumberFormat="1" applyFont="1" applyBorder="1" applyAlignment="1">
      <alignment vertical="center"/>
    </xf>
    <xf numFmtId="3" fontId="4" fillId="6" borderId="1" xfId="0" applyNumberFormat="1" applyFont="1" applyFill="1" applyBorder="1" applyAlignment="1">
      <alignment vertical="center"/>
    </xf>
    <xf numFmtId="0" fontId="7" fillId="0" borderId="0" xfId="0" applyFont="1" applyAlignment="1">
      <alignment vertical="center"/>
    </xf>
    <xf numFmtId="0" fontId="5" fillId="0" borderId="0" xfId="0" applyFont="1" applyAlignment="1">
      <alignment horizontal="center" vertical="center" wrapText="1"/>
    </xf>
    <xf numFmtId="3" fontId="5" fillId="0" borderId="0" xfId="0" applyNumberFormat="1" applyFont="1" applyAlignment="1" applyProtection="1">
      <alignment vertical="center"/>
      <protection locked="0"/>
    </xf>
    <xf numFmtId="0" fontId="5" fillId="0" borderId="15" xfId="0" applyFont="1" applyBorder="1" applyAlignment="1" applyProtection="1">
      <alignment vertical="center"/>
      <protection locked="0"/>
    </xf>
    <xf numFmtId="3" fontId="5" fillId="7" borderId="1" xfId="0" applyNumberFormat="1" applyFont="1" applyFill="1" applyBorder="1" applyAlignment="1">
      <alignment vertical="center"/>
    </xf>
    <xf numFmtId="0" fontId="5" fillId="0" borderId="0" xfId="0" applyFont="1" applyAlignment="1" applyProtection="1">
      <alignment vertical="center"/>
      <protection locked="0"/>
    </xf>
    <xf numFmtId="0" fontId="6" fillId="0" borderId="0" xfId="0" applyFont="1" applyAlignment="1">
      <alignment vertical="center"/>
    </xf>
    <xf numFmtId="3" fontId="4" fillId="4" borderId="1" xfId="0" applyNumberFormat="1" applyFont="1" applyFill="1" applyBorder="1" applyAlignment="1">
      <alignment vertical="center"/>
    </xf>
    <xf numFmtId="0" fontId="5" fillId="0" borderId="1" xfId="0" applyFont="1" applyBorder="1" applyAlignment="1">
      <alignment vertical="center"/>
    </xf>
    <xf numFmtId="0" fontId="5" fillId="0" borderId="3" xfId="0" applyFont="1" applyBorder="1" applyAlignment="1">
      <alignment vertical="center"/>
    </xf>
    <xf numFmtId="3" fontId="4" fillId="4" borderId="11" xfId="0" applyNumberFormat="1" applyFont="1" applyFill="1" applyBorder="1" applyAlignment="1">
      <alignment vertical="center"/>
    </xf>
    <xf numFmtId="0" fontId="5" fillId="3" borderId="0" xfId="0" applyFont="1" applyFill="1" applyAlignment="1">
      <alignment vertical="center" wrapText="1"/>
    </xf>
    <xf numFmtId="0" fontId="6" fillId="0" borderId="0" xfId="0" applyFont="1" applyAlignment="1">
      <alignment horizontal="center" vertical="center"/>
    </xf>
    <xf numFmtId="0" fontId="4" fillId="2" borderId="0" xfId="0" applyFont="1" applyFill="1" applyAlignment="1">
      <alignment horizontal="center" vertical="center"/>
    </xf>
    <xf numFmtId="0" fontId="5" fillId="0" borderId="1" xfId="0" applyFont="1" applyBorder="1" applyAlignment="1" applyProtection="1">
      <alignment horizontal="center" vertical="center"/>
      <protection locked="0"/>
    </xf>
    <xf numFmtId="0" fontId="4" fillId="2" borderId="3" xfId="0" applyFont="1" applyFill="1" applyBorder="1" applyAlignment="1">
      <alignment horizontal="center" vertical="center"/>
    </xf>
    <xf numFmtId="0" fontId="5" fillId="0" borderId="0" xfId="0" applyFont="1" applyAlignment="1">
      <alignment horizontal="center" vertical="center"/>
    </xf>
    <xf numFmtId="0" fontId="5" fillId="9" borderId="1" xfId="0" applyFont="1" applyFill="1" applyBorder="1" applyAlignment="1" applyProtection="1">
      <alignment horizontal="left" vertical="center"/>
      <protection locked="0"/>
    </xf>
    <xf numFmtId="0" fontId="4" fillId="9" borderId="0" xfId="0" applyFont="1" applyFill="1" applyAlignment="1">
      <alignment vertical="center"/>
    </xf>
    <xf numFmtId="0" fontId="5" fillId="9" borderId="0" xfId="0" applyFont="1" applyFill="1" applyAlignment="1">
      <alignment vertical="center"/>
    </xf>
    <xf numFmtId="0" fontId="9" fillId="0" borderId="0" xfId="0" applyFont="1" applyAlignment="1">
      <alignment vertical="center"/>
    </xf>
    <xf numFmtId="0" fontId="8" fillId="0" borderId="0" xfId="0" applyFont="1" applyAlignment="1">
      <alignment vertical="center"/>
    </xf>
    <xf numFmtId="0" fontId="5" fillId="0" borderId="1" xfId="0" applyFont="1" applyBorder="1" applyAlignment="1" applyProtection="1">
      <alignment horizontal="left" vertical="center" wrapText="1"/>
      <protection locked="0"/>
    </xf>
    <xf numFmtId="0" fontId="5" fillId="4" borderId="1" xfId="0" applyFont="1" applyFill="1" applyBorder="1" applyAlignment="1">
      <alignment horizontal="center" vertical="center" wrapText="1"/>
    </xf>
    <xf numFmtId="0" fontId="5" fillId="0" borderId="17" xfId="0" applyFont="1" applyBorder="1" applyAlignment="1">
      <alignment horizontal="center" vertical="center" wrapText="1"/>
    </xf>
    <xf numFmtId="0" fontId="5" fillId="0" borderId="2" xfId="0" applyFont="1" applyBorder="1" applyAlignment="1">
      <alignment horizontal="center" vertical="center" wrapText="1"/>
    </xf>
    <xf numFmtId="0" fontId="5" fillId="4" borderId="16"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7" xfId="0" applyFont="1" applyBorder="1" applyAlignment="1">
      <alignment horizontal="center" vertical="center"/>
    </xf>
    <xf numFmtId="0" fontId="4" fillId="9" borderId="0" xfId="0" applyFont="1" applyFill="1" applyAlignment="1">
      <alignment horizontal="center" vertical="center"/>
    </xf>
    <xf numFmtId="0" fontId="5" fillId="0" borderId="1" xfId="0" applyFont="1" applyBorder="1" applyAlignment="1">
      <alignment horizontal="center" vertical="center"/>
    </xf>
    <xf numFmtId="0" fontId="5" fillId="0" borderId="16"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1" xfId="0" applyFont="1" applyBorder="1" applyAlignment="1">
      <alignment horizontal="center" vertical="center" wrapText="1"/>
    </xf>
    <xf numFmtId="0" fontId="5" fillId="5" borderId="16" xfId="0" applyFont="1" applyFill="1" applyBorder="1" applyAlignment="1">
      <alignment horizontal="center" vertical="center" wrapText="1"/>
    </xf>
    <xf numFmtId="0" fontId="5" fillId="5" borderId="15" xfId="0" applyFont="1" applyFill="1" applyBorder="1" applyAlignment="1">
      <alignment horizontal="center" vertical="center" wrapText="1"/>
    </xf>
    <xf numFmtId="0" fontId="5" fillId="5" borderId="11" xfId="0" applyFont="1" applyFill="1" applyBorder="1" applyAlignment="1">
      <alignment horizontal="center" vertical="center" wrapText="1"/>
    </xf>
    <xf numFmtId="0" fontId="5" fillId="0" borderId="4" xfId="0" applyFont="1" applyBorder="1" applyAlignment="1">
      <alignment horizontal="center" vertical="center" wrapText="1"/>
    </xf>
    <xf numFmtId="0" fontId="5" fillId="0" borderId="2" xfId="0" applyFont="1" applyBorder="1" applyAlignment="1">
      <alignment horizontal="center" vertical="center"/>
    </xf>
    <xf numFmtId="0" fontId="5" fillId="0" borderId="4" xfId="0" applyFont="1" applyBorder="1" applyAlignment="1">
      <alignment horizontal="center" vertical="center"/>
    </xf>
    <xf numFmtId="0" fontId="5" fillId="0" borderId="16" xfId="0" applyFont="1" applyBorder="1" applyAlignment="1">
      <alignment horizontal="center" vertical="center"/>
    </xf>
    <xf numFmtId="0" fontId="5" fillId="0" borderId="15" xfId="0" applyFont="1" applyBorder="1" applyAlignment="1">
      <alignment horizontal="center" vertical="center"/>
    </xf>
    <xf numFmtId="0" fontId="5" fillId="0" borderId="11" xfId="0" applyFont="1" applyBorder="1" applyAlignment="1">
      <alignment horizontal="center"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3" fontId="5" fillId="0" borderId="16" xfId="0" applyNumberFormat="1" applyFont="1" applyBorder="1" applyAlignment="1">
      <alignment horizontal="center" vertical="center"/>
    </xf>
    <xf numFmtId="3" fontId="5" fillId="0" borderId="15" xfId="0" applyNumberFormat="1" applyFont="1" applyBorder="1" applyAlignment="1">
      <alignment horizontal="center" vertical="center"/>
    </xf>
    <xf numFmtId="3" fontId="5" fillId="0" borderId="11" xfId="0" applyNumberFormat="1" applyFont="1" applyBorder="1" applyAlignment="1">
      <alignment horizontal="center" vertical="center"/>
    </xf>
    <xf numFmtId="3" fontId="5" fillId="0" borderId="16" xfId="0" applyNumberFormat="1" applyFont="1" applyBorder="1" applyAlignment="1">
      <alignment horizontal="center" vertical="center" wrapText="1"/>
    </xf>
    <xf numFmtId="3" fontId="5" fillId="0" borderId="15" xfId="0" applyNumberFormat="1" applyFont="1" applyBorder="1" applyAlignment="1">
      <alignment horizontal="center" vertical="center" wrapText="1"/>
    </xf>
    <xf numFmtId="3" fontId="5" fillId="0" borderId="11" xfId="0" applyNumberFormat="1" applyFont="1" applyBorder="1" applyAlignment="1">
      <alignment horizontal="center" vertical="center" wrapText="1"/>
    </xf>
    <xf numFmtId="0" fontId="4" fillId="8" borderId="12" xfId="0" applyFont="1" applyFill="1" applyBorder="1" applyAlignment="1">
      <alignment horizontal="center" vertical="center"/>
    </xf>
    <xf numFmtId="0" fontId="4" fillId="8" borderId="13" xfId="0" applyFont="1" applyFill="1" applyBorder="1" applyAlignment="1">
      <alignment horizontal="center" vertical="center"/>
    </xf>
    <xf numFmtId="0" fontId="4" fillId="8" borderId="14" xfId="0" applyFont="1" applyFill="1" applyBorder="1" applyAlignment="1">
      <alignment horizontal="center" vertical="center"/>
    </xf>
    <xf numFmtId="0" fontId="5" fillId="0" borderId="1" xfId="0" applyFont="1" applyBorder="1" applyAlignment="1">
      <alignment vertical="center" wrapText="1"/>
    </xf>
  </cellXfs>
  <cellStyles count="6">
    <cellStyle name="Millares 2" xfId="1" xr:uid="{00000000-0005-0000-0000-000001000000}"/>
    <cellStyle name="Moneda" xfId="2" builtinId="4"/>
    <cellStyle name="Moneda 2" xfId="3" xr:uid="{00000000-0005-0000-0000-000002000000}"/>
    <cellStyle name="Normal" xfId="0" builtinId="0"/>
    <cellStyle name="Normal 2" xfId="4" xr:uid="{00000000-0005-0000-0000-000004000000}"/>
    <cellStyle name="Porcentaje 2" xfId="5" xr:uid="{00000000-0005-0000-0000-000006000000}"/>
  </cellStyles>
  <dxfs count="61">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9C0006"/>
      </font>
      <fill>
        <patternFill>
          <bgColor rgb="FFFFC7CE"/>
        </patternFill>
      </fill>
    </dxf>
    <dxf>
      <font>
        <color rgb="FF9C0006"/>
      </font>
      <fill>
        <patternFill>
          <bgColor rgb="FFFFC7CE"/>
        </patternFill>
      </fill>
    </dxf>
    <dxf>
      <font>
        <color rgb="FFFF0000"/>
      </font>
      <fill>
        <patternFill>
          <bgColor rgb="FFFFFF00"/>
        </patternFill>
      </fill>
    </dxf>
    <dxf>
      <font>
        <color rgb="FFFF0000"/>
      </font>
      <fill>
        <patternFill>
          <bgColor rgb="FFFFFF00"/>
        </patternFill>
      </fill>
    </dxf>
    <dxf>
      <font>
        <color rgb="FF9C0006"/>
      </font>
      <fill>
        <patternFill>
          <bgColor rgb="FFFFC7CE"/>
        </patternFill>
      </fill>
    </dxf>
    <dxf>
      <font>
        <color rgb="FFFF0000"/>
      </font>
      <fill>
        <patternFill>
          <bgColor rgb="FFFFFF00"/>
        </patternFill>
      </fill>
    </dxf>
    <dxf>
      <font>
        <color rgb="FFFF0000"/>
      </font>
      <fill>
        <patternFill>
          <bgColor rgb="FFFFFF00"/>
        </patternFill>
      </fill>
    </dxf>
    <dxf>
      <font>
        <b/>
        <i val="0"/>
        <color rgb="FFFF0000"/>
      </font>
      <fill>
        <patternFill>
          <bgColor rgb="FFFFFF00"/>
        </patternFill>
      </fill>
    </dxf>
    <dxf>
      <font>
        <color rgb="FFFF0000"/>
      </font>
      <fill>
        <patternFill>
          <bgColor rgb="FFFFFF00"/>
        </patternFill>
      </fill>
    </dxf>
    <dxf>
      <font>
        <color rgb="FF9C0006"/>
      </font>
      <fill>
        <patternFill>
          <bgColor rgb="FFFFC7CE"/>
        </patternFill>
      </fill>
    </dxf>
    <dxf>
      <font>
        <color rgb="FFFF0000"/>
      </font>
      <fill>
        <patternFill>
          <bgColor rgb="FFFFFF00"/>
        </patternFill>
      </fill>
    </dxf>
    <dxf>
      <font>
        <color rgb="FF9C0006"/>
      </font>
      <fill>
        <patternFill>
          <bgColor rgb="FFFFC7CE"/>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
      <font>
        <color rgb="FFFF0000"/>
      </font>
      <fill>
        <patternFill>
          <bgColor rgb="FFFFFF00"/>
        </patternFill>
      </fill>
    </dxf>
    <dxf>
      <fill>
        <patternFill>
          <bgColor theme="6" tint="0.59996337778862885"/>
        </patternFill>
      </fill>
    </dxf>
    <dxf>
      <fill>
        <patternFill>
          <bgColor theme="3"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60"/>
  <sheetViews>
    <sheetView showGridLines="0" tabSelected="1" zoomScaleNormal="100" workbookViewId="0">
      <pane ySplit="11" topLeftCell="A12" activePane="bottomLeft" state="frozen"/>
      <selection pane="bottomLeft" activeCell="A16" sqref="A16"/>
    </sheetView>
  </sheetViews>
  <sheetFormatPr baseColWidth="10" defaultColWidth="11.42578125" defaultRowHeight="11.25" x14ac:dyDescent="0.2"/>
  <cols>
    <col min="1" max="1" width="45.28515625" style="3" customWidth="1"/>
    <col min="2" max="2" width="19" style="3" customWidth="1"/>
    <col min="3" max="4" width="19" style="66" customWidth="1"/>
    <col min="5" max="5" width="22.85546875" style="3" customWidth="1"/>
    <col min="6" max="6" width="9.5703125" style="3" customWidth="1"/>
    <col min="7" max="8" width="11.42578125" style="3"/>
    <col min="9" max="9" width="24.28515625" style="3" customWidth="1"/>
    <col min="10" max="16384" width="11.42578125" style="3"/>
  </cols>
  <sheetData>
    <row r="1" spans="1:8" s="1" customFormat="1" ht="12.75" x14ac:dyDescent="0.2">
      <c r="A1"/>
      <c r="B1"/>
      <c r="C1"/>
      <c r="D1"/>
      <c r="E1"/>
      <c r="F1"/>
      <c r="G1"/>
      <c r="H1"/>
    </row>
    <row r="2" spans="1:8" s="1" customFormat="1" ht="12.75" x14ac:dyDescent="0.2">
      <c r="A2"/>
      <c r="B2"/>
      <c r="C2"/>
      <c r="D2"/>
      <c r="E2"/>
      <c r="F2"/>
      <c r="G2"/>
      <c r="H2"/>
    </row>
    <row r="3" spans="1:8" s="1" customFormat="1" ht="12.75" x14ac:dyDescent="0.2">
      <c r="A3"/>
      <c r="B3"/>
      <c r="C3"/>
      <c r="D3"/>
      <c r="E3"/>
      <c r="F3"/>
      <c r="G3"/>
      <c r="H3"/>
    </row>
    <row r="4" spans="1:8" s="1" customFormat="1" ht="35.25" customHeight="1" x14ac:dyDescent="0.2">
      <c r="A4"/>
      <c r="B4"/>
      <c r="C4"/>
      <c r="D4"/>
      <c r="E4"/>
      <c r="F4"/>
      <c r="G4"/>
      <c r="H4"/>
    </row>
    <row r="5" spans="1:8" s="1" customFormat="1" ht="23.25" customHeight="1" x14ac:dyDescent="0.2">
      <c r="A5"/>
      <c r="B5"/>
      <c r="C5"/>
      <c r="D5"/>
      <c r="E5"/>
      <c r="F5"/>
      <c r="G5"/>
      <c r="H5"/>
    </row>
    <row r="6" spans="1:8" s="1" customFormat="1" ht="12.75" x14ac:dyDescent="0.2">
      <c r="A6" s="1" t="s">
        <v>0</v>
      </c>
      <c r="B6"/>
      <c r="C6"/>
      <c r="D6"/>
      <c r="E6"/>
    </row>
    <row r="7" spans="1:8" s="1" customFormat="1" ht="19.5" customHeight="1" x14ac:dyDescent="0.2">
      <c r="A7" s="17"/>
      <c r="B7" s="62"/>
      <c r="C7" s="62"/>
      <c r="D7" s="62"/>
      <c r="E7"/>
    </row>
    <row r="8" spans="1:8" s="1" customFormat="1" ht="17.25" customHeight="1" x14ac:dyDescent="0.2">
      <c r="C8" s="17"/>
      <c r="D8" s="17"/>
      <c r="E8"/>
    </row>
    <row r="9" spans="1:8" ht="21.75" customHeight="1" x14ac:dyDescent="0.2">
      <c r="A9" s="79" t="s">
        <v>1</v>
      </c>
      <c r="B9" s="83" t="s">
        <v>2</v>
      </c>
      <c r="C9" s="83" t="s">
        <v>3</v>
      </c>
      <c r="D9" s="83" t="s">
        <v>4</v>
      </c>
      <c r="E9" s="86" t="s">
        <v>79</v>
      </c>
      <c r="F9" s="76" t="s">
        <v>5</v>
      </c>
    </row>
    <row r="10" spans="1:8" ht="20.25" customHeight="1" x14ac:dyDescent="0.2">
      <c r="A10" s="82"/>
      <c r="B10" s="84"/>
      <c r="C10" s="84"/>
      <c r="D10" s="84"/>
      <c r="E10" s="87"/>
      <c r="F10" s="77"/>
    </row>
    <row r="11" spans="1:8" ht="33.75" customHeight="1" x14ac:dyDescent="0.2">
      <c r="A11" s="82"/>
      <c r="B11" s="85"/>
      <c r="C11" s="85"/>
      <c r="D11" s="85"/>
      <c r="E11" s="88"/>
      <c r="F11" s="78"/>
    </row>
    <row r="12" spans="1:8" x14ac:dyDescent="0.2">
      <c r="A12" s="4" t="s">
        <v>7</v>
      </c>
      <c r="B12" s="5"/>
      <c r="C12" s="63"/>
      <c r="D12" s="63"/>
      <c r="E12" s="6"/>
      <c r="F12" s="6"/>
    </row>
    <row r="13" spans="1:8" ht="22.5" x14ac:dyDescent="0.2">
      <c r="A13" s="7" t="s">
        <v>75</v>
      </c>
      <c r="B13" s="72" t="s">
        <v>8</v>
      </c>
      <c r="C13" s="64">
        <v>30</v>
      </c>
      <c r="D13" s="64">
        <v>3</v>
      </c>
      <c r="E13" s="8">
        <v>750080</v>
      </c>
      <c r="F13" s="9">
        <f t="shared" ref="F13:F23" si="0">SUM(E13:E13)*D13</f>
        <v>2250240</v>
      </c>
    </row>
    <row r="14" spans="1:8" ht="22.5" x14ac:dyDescent="0.2">
      <c r="A14" s="7" t="s">
        <v>76</v>
      </c>
      <c r="B14" s="72" t="s">
        <v>8</v>
      </c>
      <c r="C14" s="64">
        <v>30</v>
      </c>
      <c r="D14" s="64">
        <v>3</v>
      </c>
      <c r="E14" s="8">
        <v>750080</v>
      </c>
      <c r="F14" s="9">
        <f t="shared" si="0"/>
        <v>2250240</v>
      </c>
    </row>
    <row r="15" spans="1:8" ht="22.5" x14ac:dyDescent="0.2">
      <c r="A15" s="7" t="s">
        <v>77</v>
      </c>
      <c r="B15" s="72" t="s">
        <v>8</v>
      </c>
      <c r="C15" s="64">
        <v>30</v>
      </c>
      <c r="D15" s="64">
        <v>3</v>
      </c>
      <c r="E15" s="8">
        <v>750080</v>
      </c>
      <c r="F15" s="9">
        <f t="shared" si="0"/>
        <v>2250240</v>
      </c>
    </row>
    <row r="16" spans="1:8" ht="22.5" x14ac:dyDescent="0.2">
      <c r="A16" s="67" t="s">
        <v>78</v>
      </c>
      <c r="B16" s="72" t="s">
        <v>8</v>
      </c>
      <c r="C16" s="64">
        <v>30</v>
      </c>
      <c r="D16" s="64">
        <v>3</v>
      </c>
      <c r="E16" s="8">
        <v>750080</v>
      </c>
      <c r="F16" s="9">
        <f t="shared" si="0"/>
        <v>2250240</v>
      </c>
    </row>
    <row r="17" spans="1:20" x14ac:dyDescent="0.2">
      <c r="A17" s="7"/>
      <c r="B17" s="7"/>
      <c r="C17" s="64"/>
      <c r="D17" s="64"/>
      <c r="E17" s="8"/>
      <c r="F17" s="9">
        <f t="shared" si="0"/>
        <v>0</v>
      </c>
      <c r="I17" s="61"/>
      <c r="J17" s="37"/>
      <c r="K17" s="37"/>
      <c r="L17" s="37"/>
      <c r="M17" s="37"/>
      <c r="N17" s="37"/>
      <c r="O17" s="37"/>
      <c r="P17" s="37"/>
      <c r="Q17" s="37"/>
      <c r="R17" s="37"/>
      <c r="S17" s="37"/>
      <c r="T17" s="37"/>
    </row>
    <row r="18" spans="1:20" x14ac:dyDescent="0.2">
      <c r="A18" s="7"/>
      <c r="B18" s="7"/>
      <c r="C18" s="64"/>
      <c r="D18" s="64"/>
      <c r="E18" s="8"/>
      <c r="F18" s="9">
        <f t="shared" si="0"/>
        <v>0</v>
      </c>
      <c r="I18" s="37"/>
      <c r="J18" s="37"/>
      <c r="K18" s="37"/>
      <c r="L18" s="37"/>
      <c r="M18" s="37"/>
      <c r="N18" s="37"/>
      <c r="O18" s="37"/>
      <c r="P18" s="37"/>
      <c r="Q18" s="37"/>
      <c r="R18" s="37"/>
      <c r="S18" s="37"/>
      <c r="T18" s="37"/>
    </row>
    <row r="19" spans="1:20" x14ac:dyDescent="0.2">
      <c r="A19" s="7"/>
      <c r="B19" s="7"/>
      <c r="C19" s="64"/>
      <c r="D19" s="64"/>
      <c r="E19" s="8"/>
      <c r="F19" s="9">
        <f t="shared" si="0"/>
        <v>0</v>
      </c>
    </row>
    <row r="20" spans="1:20" x14ac:dyDescent="0.2">
      <c r="A20" s="7"/>
      <c r="B20" s="7"/>
      <c r="C20" s="64"/>
      <c r="D20" s="64"/>
      <c r="E20" s="8"/>
      <c r="F20" s="9">
        <f t="shared" si="0"/>
        <v>0</v>
      </c>
    </row>
    <row r="21" spans="1:20" x14ac:dyDescent="0.2">
      <c r="A21" s="7"/>
      <c r="B21" s="7"/>
      <c r="C21" s="64"/>
      <c r="D21" s="64"/>
      <c r="E21" s="8"/>
      <c r="F21" s="9">
        <f t="shared" si="0"/>
        <v>0</v>
      </c>
    </row>
    <row r="22" spans="1:20" x14ac:dyDescent="0.2">
      <c r="A22" s="7"/>
      <c r="B22" s="7"/>
      <c r="C22" s="64"/>
      <c r="D22" s="64"/>
      <c r="E22" s="8"/>
      <c r="F22" s="9">
        <f t="shared" si="0"/>
        <v>0</v>
      </c>
    </row>
    <row r="23" spans="1:20" x14ac:dyDescent="0.2">
      <c r="A23" s="7"/>
      <c r="B23" s="7"/>
      <c r="C23" s="64"/>
      <c r="D23" s="64"/>
      <c r="E23" s="8"/>
      <c r="F23" s="9">
        <f t="shared" si="0"/>
        <v>0</v>
      </c>
    </row>
    <row r="24" spans="1:20" x14ac:dyDescent="0.2">
      <c r="A24" s="7"/>
      <c r="B24" s="7"/>
      <c r="C24" s="64"/>
      <c r="D24" s="64"/>
      <c r="E24" s="8">
        <v>0</v>
      </c>
      <c r="F24" s="9">
        <f>SUM(E24:E24)*D24</f>
        <v>0</v>
      </c>
    </row>
    <row r="25" spans="1:20" x14ac:dyDescent="0.2">
      <c r="A25" s="4" t="s">
        <v>10</v>
      </c>
      <c r="B25" s="10"/>
      <c r="C25" s="65"/>
      <c r="D25" s="65"/>
      <c r="E25" s="11"/>
      <c r="F25" s="12">
        <f>SUM(F13:F24)</f>
        <v>9000960</v>
      </c>
    </row>
    <row r="26" spans="1:20" ht="67.5" customHeight="1" x14ac:dyDescent="0.2">
      <c r="A26" s="1"/>
      <c r="B26" s="1"/>
      <c r="C26" s="17"/>
      <c r="D26" s="17"/>
      <c r="F26" s="14"/>
    </row>
    <row r="27" spans="1:20" s="69" customFormat="1" ht="11.25" customHeight="1" x14ac:dyDescent="0.2">
      <c r="A27" s="81"/>
      <c r="B27" s="81"/>
      <c r="C27" s="81"/>
      <c r="D27" s="81"/>
      <c r="E27" s="81"/>
      <c r="F27" s="68"/>
    </row>
    <row r="28" spans="1:20" s="69" customFormat="1" x14ac:dyDescent="0.2">
      <c r="A28" s="81"/>
      <c r="B28" s="81"/>
      <c r="C28" s="81"/>
      <c r="D28" s="81"/>
      <c r="E28" s="81"/>
      <c r="F28" s="68"/>
    </row>
    <row r="29" spans="1:20" ht="12.75" x14ac:dyDescent="0.2">
      <c r="A29"/>
      <c r="B29"/>
      <c r="C29"/>
      <c r="D29"/>
      <c r="E29"/>
      <c r="F29" s="14"/>
    </row>
    <row r="30" spans="1:20" ht="12.75" x14ac:dyDescent="0.2">
      <c r="A30"/>
      <c r="B30"/>
      <c r="C30"/>
      <c r="D30"/>
      <c r="E30"/>
      <c r="F30" s="14"/>
    </row>
    <row r="31" spans="1:20" ht="12.75" x14ac:dyDescent="0.2">
      <c r="A31"/>
      <c r="B31"/>
      <c r="C31"/>
      <c r="D31"/>
      <c r="E31"/>
      <c r="F31" s="14"/>
    </row>
    <row r="32" spans="1:20" ht="12.75" x14ac:dyDescent="0.2">
      <c r="A32"/>
      <c r="B32"/>
      <c r="C32"/>
      <c r="D32"/>
      <c r="E32"/>
      <c r="F32" s="14"/>
    </row>
    <row r="33" spans="1:6" ht="12.75" x14ac:dyDescent="0.2">
      <c r="A33"/>
      <c r="B33"/>
      <c r="C33"/>
      <c r="D33"/>
      <c r="E33"/>
      <c r="F33" s="17"/>
    </row>
    <row r="34" spans="1:6" ht="58.5" customHeight="1" x14ac:dyDescent="0.2">
      <c r="A34"/>
      <c r="B34"/>
      <c r="C34"/>
      <c r="D34"/>
      <c r="E34"/>
      <c r="F34" s="17"/>
    </row>
    <row r="35" spans="1:6" ht="12.75" x14ac:dyDescent="0.2">
      <c r="A35"/>
      <c r="B35"/>
      <c r="C35"/>
      <c r="D35"/>
      <c r="E35"/>
      <c r="F35" s="17"/>
    </row>
    <row r="36" spans="1:6" ht="12.75" x14ac:dyDescent="0.2">
      <c r="A36"/>
      <c r="B36"/>
      <c r="C36"/>
      <c r="D36"/>
      <c r="E36"/>
    </row>
    <row r="37" spans="1:6" ht="12.75" x14ac:dyDescent="0.2">
      <c r="A37"/>
      <c r="B37"/>
      <c r="C37"/>
      <c r="D37"/>
      <c r="E37"/>
    </row>
    <row r="38" spans="1:6" ht="12.75" x14ac:dyDescent="0.2">
      <c r="A38"/>
      <c r="B38"/>
      <c r="C38"/>
      <c r="D38"/>
      <c r="E38"/>
    </row>
    <row r="39" spans="1:6" ht="12.75" x14ac:dyDescent="0.2">
      <c r="A39"/>
      <c r="B39"/>
      <c r="C39"/>
      <c r="D39"/>
      <c r="E39"/>
    </row>
    <row r="40" spans="1:6" ht="12.75" x14ac:dyDescent="0.2">
      <c r="A40"/>
      <c r="B40"/>
      <c r="C40"/>
      <c r="D40"/>
      <c r="E40"/>
    </row>
    <row r="41" spans="1:6" ht="12.75" x14ac:dyDescent="0.2">
      <c r="A41"/>
      <c r="B41"/>
      <c r="C41"/>
      <c r="D41"/>
      <c r="E41"/>
      <c r="F41" s="17"/>
    </row>
    <row r="42" spans="1:6" ht="12.75" x14ac:dyDescent="0.2">
      <c r="A42"/>
      <c r="B42"/>
      <c r="C42"/>
      <c r="D42"/>
      <c r="E42"/>
    </row>
    <row r="43" spans="1:6" ht="12.75" x14ac:dyDescent="0.2">
      <c r="A43"/>
      <c r="B43"/>
      <c r="C43"/>
      <c r="D43"/>
      <c r="E43"/>
    </row>
    <row r="44" spans="1:6" ht="12.75" x14ac:dyDescent="0.2">
      <c r="A44"/>
      <c r="B44"/>
      <c r="C44"/>
      <c r="D44"/>
      <c r="E44"/>
    </row>
    <row r="45" spans="1:6" ht="12.75" x14ac:dyDescent="0.2">
      <c r="A45"/>
      <c r="B45"/>
      <c r="C45"/>
      <c r="D45"/>
      <c r="E45"/>
    </row>
    <row r="46" spans="1:6" ht="12.75" x14ac:dyDescent="0.2">
      <c r="A46"/>
      <c r="B46"/>
      <c r="C46"/>
      <c r="D46"/>
      <c r="E46"/>
      <c r="F46" s="17"/>
    </row>
    <row r="47" spans="1:6" ht="12.75" x14ac:dyDescent="0.2">
      <c r="A47"/>
      <c r="B47"/>
      <c r="C47"/>
      <c r="D47"/>
      <c r="E47"/>
    </row>
    <row r="48" spans="1:6" ht="12.75" x14ac:dyDescent="0.2">
      <c r="A48"/>
      <c r="B48"/>
      <c r="C48"/>
      <c r="D48"/>
      <c r="E48"/>
    </row>
    <row r="49" spans="1:5" ht="12.75" x14ac:dyDescent="0.2">
      <c r="A49"/>
      <c r="B49"/>
      <c r="C49"/>
      <c r="D49"/>
      <c r="E49"/>
    </row>
    <row r="50" spans="1:5" ht="12.75" x14ac:dyDescent="0.2">
      <c r="A50"/>
      <c r="B50"/>
      <c r="C50"/>
      <c r="D50"/>
      <c r="E50"/>
    </row>
    <row r="51" spans="1:5" ht="12.75" x14ac:dyDescent="0.2">
      <c r="A51"/>
      <c r="B51"/>
      <c r="C51"/>
      <c r="D51"/>
      <c r="E51"/>
    </row>
    <row r="52" spans="1:5" ht="12.75" x14ac:dyDescent="0.2">
      <c r="A52"/>
      <c r="B52"/>
      <c r="C52"/>
      <c r="D52"/>
      <c r="E52"/>
    </row>
    <row r="53" spans="1:5" ht="12.75" x14ac:dyDescent="0.2">
      <c r="A53"/>
      <c r="B53"/>
      <c r="C53"/>
      <c r="D53"/>
      <c r="E53"/>
    </row>
    <row r="54" spans="1:5" ht="12.75" x14ac:dyDescent="0.2">
      <c r="A54"/>
      <c r="B54"/>
      <c r="C54"/>
      <c r="D54"/>
      <c r="E54"/>
    </row>
    <row r="55" spans="1:5" ht="12.75" x14ac:dyDescent="0.2">
      <c r="A55"/>
      <c r="B55"/>
      <c r="C55"/>
      <c r="D55"/>
      <c r="E55"/>
    </row>
    <row r="56" spans="1:5" ht="12.75" x14ac:dyDescent="0.2">
      <c r="A56"/>
      <c r="B56"/>
      <c r="C56"/>
      <c r="D56"/>
      <c r="E56"/>
    </row>
    <row r="57" spans="1:5" ht="12.75" x14ac:dyDescent="0.2">
      <c r="A57"/>
      <c r="B57"/>
      <c r="C57"/>
      <c r="D57"/>
      <c r="E57"/>
    </row>
    <row r="58" spans="1:5" ht="12.75" x14ac:dyDescent="0.2">
      <c r="A58"/>
      <c r="B58"/>
      <c r="C58"/>
      <c r="D58"/>
      <c r="E58"/>
    </row>
    <row r="59" spans="1:5" ht="12.75" x14ac:dyDescent="0.2">
      <c r="A59"/>
      <c r="B59"/>
      <c r="C59"/>
      <c r="D59"/>
      <c r="E59"/>
    </row>
    <row r="60" spans="1:5" ht="12.75" x14ac:dyDescent="0.2">
      <c r="A60"/>
      <c r="B60"/>
      <c r="C60"/>
      <c r="D60"/>
      <c r="E60"/>
    </row>
  </sheetData>
  <sheetProtection insertRows="0" selectLockedCells="1" selectUnlockedCells="1"/>
  <mergeCells count="7">
    <mergeCell ref="A27:E28"/>
    <mergeCell ref="A9:A11"/>
    <mergeCell ref="C9:C11"/>
    <mergeCell ref="D9:D11"/>
    <mergeCell ref="B9:B11"/>
    <mergeCell ref="E9:E11"/>
    <mergeCell ref="F9:F11"/>
  </mergeCells>
  <pageMargins left="0.75" right="0.75" top="1" bottom="1" header="0" footer="0"/>
  <pageSetup scale="72" fitToHeight="4" orientation="landscape"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pageSetUpPr fitToPage="1"/>
  </sheetPr>
  <dimension ref="A1:H49"/>
  <sheetViews>
    <sheetView showGridLines="0" zoomScaleNormal="100" workbookViewId="0">
      <selection activeCell="C15" sqref="C15"/>
    </sheetView>
  </sheetViews>
  <sheetFormatPr baseColWidth="10" defaultColWidth="11.42578125" defaultRowHeight="11.25" x14ac:dyDescent="0.2"/>
  <cols>
    <col min="1" max="1" width="26.140625" style="3" customWidth="1"/>
    <col min="2" max="2" width="15" style="3" customWidth="1"/>
    <col min="3" max="3" width="34.85546875" style="3" customWidth="1"/>
    <col min="4" max="4" width="12.5703125" style="3" customWidth="1"/>
    <col min="5" max="5" width="13" style="3" customWidth="1"/>
    <col min="6" max="6" width="9" style="3" customWidth="1"/>
    <col min="7" max="7" width="12.42578125" style="3" bestFit="1" customWidth="1"/>
    <col min="8" max="16384" width="11.42578125" style="3"/>
  </cols>
  <sheetData>
    <row r="1" spans="1:8" ht="12.75" x14ac:dyDescent="0.2">
      <c r="A1" s="1" t="s">
        <v>11</v>
      </c>
      <c r="B1" s="70" t="s">
        <v>12</v>
      </c>
      <c r="C1"/>
      <c r="D1"/>
      <c r="E1"/>
      <c r="F1"/>
      <c r="G1"/>
    </row>
    <row r="2" spans="1:8" x14ac:dyDescent="0.2">
      <c r="A2" s="83" t="s">
        <v>13</v>
      </c>
      <c r="B2" s="83" t="s">
        <v>2</v>
      </c>
      <c r="C2" s="83" t="s">
        <v>14</v>
      </c>
      <c r="D2" s="75" t="s">
        <v>15</v>
      </c>
      <c r="E2" s="89"/>
      <c r="F2" s="83" t="s">
        <v>16</v>
      </c>
      <c r="G2" s="76" t="s">
        <v>5</v>
      </c>
    </row>
    <row r="3" spans="1:8" ht="11.25" customHeight="1" x14ac:dyDescent="0.2">
      <c r="A3" s="84"/>
      <c r="B3" s="84"/>
      <c r="C3" s="84"/>
      <c r="D3" s="83" t="s">
        <v>17</v>
      </c>
      <c r="E3" s="83" t="s">
        <v>18</v>
      </c>
      <c r="F3" s="84"/>
      <c r="G3" s="77"/>
    </row>
    <row r="4" spans="1:8" x14ac:dyDescent="0.2">
      <c r="A4" s="85"/>
      <c r="B4" s="85"/>
      <c r="C4" s="85"/>
      <c r="D4" s="85"/>
      <c r="E4" s="85"/>
      <c r="F4" s="85"/>
      <c r="G4" s="78"/>
    </row>
    <row r="5" spans="1:8" ht="22.5" x14ac:dyDescent="0.2">
      <c r="A5" s="58" t="s">
        <v>19</v>
      </c>
      <c r="B5" s="58" t="s">
        <v>20</v>
      </c>
      <c r="C5" s="106" t="s">
        <v>21</v>
      </c>
      <c r="D5" s="39">
        <v>0</v>
      </c>
      <c r="E5" s="39">
        <v>171764</v>
      </c>
      <c r="F5" s="39">
        <v>19</v>
      </c>
      <c r="G5" s="39">
        <f>(D5+E5)*F5</f>
        <v>3263516</v>
      </c>
      <c r="H5" s="13"/>
    </row>
    <row r="6" spans="1:8" ht="22.5" x14ac:dyDescent="0.2">
      <c r="A6" s="58" t="s">
        <v>22</v>
      </c>
      <c r="B6" s="58" t="s">
        <v>20</v>
      </c>
      <c r="C6" s="106" t="s">
        <v>23</v>
      </c>
      <c r="D6" s="39">
        <v>400000</v>
      </c>
      <c r="E6" s="39">
        <v>0</v>
      </c>
      <c r="F6" s="39">
        <v>4</v>
      </c>
      <c r="G6" s="39">
        <f t="shared" ref="G6:G24" si="0">(D6+E6)*F6</f>
        <v>1600000</v>
      </c>
      <c r="H6" s="13"/>
    </row>
    <row r="7" spans="1:8" x14ac:dyDescent="0.2">
      <c r="A7" s="58" t="s">
        <v>24</v>
      </c>
      <c r="B7" s="58" t="s">
        <v>20</v>
      </c>
      <c r="C7" s="58" t="s">
        <v>84</v>
      </c>
      <c r="D7" s="39">
        <v>39900</v>
      </c>
      <c r="E7" s="39">
        <v>0</v>
      </c>
      <c r="F7" s="39">
        <v>4</v>
      </c>
      <c r="G7" s="39">
        <f t="shared" si="0"/>
        <v>159600</v>
      </c>
      <c r="H7" s="13"/>
    </row>
    <row r="8" spans="1:8" x14ac:dyDescent="0.2">
      <c r="A8" s="58" t="s">
        <v>25</v>
      </c>
      <c r="B8" s="58" t="s">
        <v>20</v>
      </c>
      <c r="C8" s="58" t="s">
        <v>85</v>
      </c>
      <c r="D8" s="39">
        <v>259990</v>
      </c>
      <c r="E8" s="39"/>
      <c r="F8" s="39">
        <v>4</v>
      </c>
      <c r="G8" s="39">
        <f t="shared" si="0"/>
        <v>1039960</v>
      </c>
      <c r="H8" s="13"/>
    </row>
    <row r="9" spans="1:8" x14ac:dyDescent="0.2">
      <c r="A9" s="58" t="s">
        <v>80</v>
      </c>
      <c r="B9" s="58" t="s">
        <v>20</v>
      </c>
      <c r="C9" s="58" t="s">
        <v>81</v>
      </c>
      <c r="D9" s="39">
        <v>600000</v>
      </c>
      <c r="E9" s="39">
        <v>0</v>
      </c>
      <c r="F9" s="39">
        <v>1</v>
      </c>
      <c r="G9" s="39">
        <f t="shared" si="0"/>
        <v>600000</v>
      </c>
      <c r="H9" s="13"/>
    </row>
    <row r="10" spans="1:8" x14ac:dyDescent="0.2">
      <c r="A10" s="58"/>
      <c r="B10" s="58"/>
      <c r="C10" s="58"/>
      <c r="D10" s="39">
        <v>0</v>
      </c>
      <c r="E10" s="39">
        <v>0</v>
      </c>
      <c r="F10" s="39">
        <v>0</v>
      </c>
      <c r="G10" s="39">
        <f t="shared" si="0"/>
        <v>0</v>
      </c>
      <c r="H10" s="13"/>
    </row>
    <row r="11" spans="1:8" x14ac:dyDescent="0.2">
      <c r="A11" s="58"/>
      <c r="B11" s="58"/>
      <c r="C11" s="58"/>
      <c r="D11" s="39">
        <v>0</v>
      </c>
      <c r="E11" s="39">
        <v>0</v>
      </c>
      <c r="F11" s="39">
        <v>0</v>
      </c>
      <c r="G11" s="39">
        <f t="shared" si="0"/>
        <v>0</v>
      </c>
      <c r="H11" s="13"/>
    </row>
    <row r="12" spans="1:8" x14ac:dyDescent="0.2">
      <c r="A12" s="58"/>
      <c r="B12" s="58"/>
      <c r="C12" s="58"/>
      <c r="D12" s="39">
        <v>0</v>
      </c>
      <c r="E12" s="39">
        <v>0</v>
      </c>
      <c r="F12" s="39">
        <v>0</v>
      </c>
      <c r="G12" s="39">
        <f t="shared" si="0"/>
        <v>0</v>
      </c>
      <c r="H12" s="13"/>
    </row>
    <row r="13" spans="1:8" x14ac:dyDescent="0.2">
      <c r="A13" s="58"/>
      <c r="B13" s="58"/>
      <c r="C13" s="58"/>
      <c r="D13" s="39">
        <v>0</v>
      </c>
      <c r="E13" s="39">
        <v>0</v>
      </c>
      <c r="F13" s="39">
        <v>0</v>
      </c>
      <c r="G13" s="39">
        <f t="shared" si="0"/>
        <v>0</v>
      </c>
      <c r="H13" s="13"/>
    </row>
    <row r="14" spans="1:8" x14ac:dyDescent="0.2">
      <c r="A14" s="58"/>
      <c r="B14" s="58"/>
      <c r="C14" s="58"/>
      <c r="D14" s="39">
        <v>0</v>
      </c>
      <c r="E14" s="39">
        <v>0</v>
      </c>
      <c r="F14" s="39">
        <v>0</v>
      </c>
      <c r="G14" s="39">
        <f t="shared" si="0"/>
        <v>0</v>
      </c>
      <c r="H14" s="13"/>
    </row>
    <row r="15" spans="1:8" x14ac:dyDescent="0.2">
      <c r="A15" s="58"/>
      <c r="B15" s="58"/>
      <c r="C15" s="58"/>
      <c r="D15" s="39">
        <v>0</v>
      </c>
      <c r="E15" s="39">
        <v>0</v>
      </c>
      <c r="F15" s="39">
        <v>0</v>
      </c>
      <c r="G15" s="39">
        <f t="shared" si="0"/>
        <v>0</v>
      </c>
      <c r="H15" s="13"/>
    </row>
    <row r="16" spans="1:8" x14ac:dyDescent="0.2">
      <c r="A16" s="58"/>
      <c r="B16" s="58"/>
      <c r="C16" s="58"/>
      <c r="D16" s="39">
        <v>0</v>
      </c>
      <c r="E16" s="39">
        <v>0</v>
      </c>
      <c r="F16" s="39">
        <v>0</v>
      </c>
      <c r="G16" s="39">
        <f t="shared" si="0"/>
        <v>0</v>
      </c>
      <c r="H16" s="13"/>
    </row>
    <row r="17" spans="1:8" x14ac:dyDescent="0.2">
      <c r="A17" s="58"/>
      <c r="B17" s="58"/>
      <c r="C17" s="58"/>
      <c r="D17" s="39">
        <v>0</v>
      </c>
      <c r="E17" s="39">
        <v>0</v>
      </c>
      <c r="F17" s="39">
        <v>0</v>
      </c>
      <c r="G17" s="39">
        <f t="shared" si="0"/>
        <v>0</v>
      </c>
      <c r="H17" s="13"/>
    </row>
    <row r="18" spans="1:8" x14ac:dyDescent="0.2">
      <c r="A18" s="58"/>
      <c r="B18" s="58"/>
      <c r="C18" s="58"/>
      <c r="D18" s="39">
        <v>0</v>
      </c>
      <c r="E18" s="39">
        <v>0</v>
      </c>
      <c r="F18" s="39">
        <v>0</v>
      </c>
      <c r="G18" s="39">
        <f t="shared" si="0"/>
        <v>0</v>
      </c>
      <c r="H18" s="13"/>
    </row>
    <row r="19" spans="1:8" x14ac:dyDescent="0.2">
      <c r="A19" s="58"/>
      <c r="B19" s="58"/>
      <c r="C19" s="58"/>
      <c r="D19" s="39">
        <v>0</v>
      </c>
      <c r="E19" s="39">
        <v>0</v>
      </c>
      <c r="F19" s="39">
        <v>0</v>
      </c>
      <c r="G19" s="39">
        <f t="shared" si="0"/>
        <v>0</v>
      </c>
      <c r="H19" s="13"/>
    </row>
    <row r="20" spans="1:8" x14ac:dyDescent="0.2">
      <c r="A20" s="58"/>
      <c r="B20" s="58"/>
      <c r="C20" s="58"/>
      <c r="D20" s="39">
        <v>0</v>
      </c>
      <c r="E20" s="39">
        <v>0</v>
      </c>
      <c r="F20" s="39">
        <v>0</v>
      </c>
      <c r="G20" s="39">
        <f t="shared" si="0"/>
        <v>0</v>
      </c>
      <c r="H20" s="13"/>
    </row>
    <row r="21" spans="1:8" x14ac:dyDescent="0.2">
      <c r="A21" s="58"/>
      <c r="B21" s="58"/>
      <c r="C21" s="58"/>
      <c r="D21" s="39">
        <v>0</v>
      </c>
      <c r="E21" s="39">
        <v>0</v>
      </c>
      <c r="F21" s="39">
        <v>0</v>
      </c>
      <c r="G21" s="39">
        <f t="shared" si="0"/>
        <v>0</v>
      </c>
      <c r="H21" s="13"/>
    </row>
    <row r="22" spans="1:8" x14ac:dyDescent="0.2">
      <c r="A22" s="58"/>
      <c r="B22" s="58"/>
      <c r="C22" s="58"/>
      <c r="D22" s="39">
        <v>0</v>
      </c>
      <c r="E22" s="39">
        <v>0</v>
      </c>
      <c r="F22" s="39">
        <v>0</v>
      </c>
      <c r="G22" s="39">
        <f t="shared" si="0"/>
        <v>0</v>
      </c>
      <c r="H22" s="13"/>
    </row>
    <row r="23" spans="1:8" x14ac:dyDescent="0.2">
      <c r="A23" s="58"/>
      <c r="B23" s="58"/>
      <c r="C23" s="58"/>
      <c r="D23" s="39">
        <v>0</v>
      </c>
      <c r="E23" s="39">
        <v>0</v>
      </c>
      <c r="F23" s="39">
        <v>0</v>
      </c>
      <c r="G23" s="39">
        <f t="shared" si="0"/>
        <v>0</v>
      </c>
      <c r="H23" s="13"/>
    </row>
    <row r="24" spans="1:8" x14ac:dyDescent="0.2">
      <c r="A24" s="58"/>
      <c r="B24" s="58"/>
      <c r="C24" s="58"/>
      <c r="D24" s="39">
        <v>0</v>
      </c>
      <c r="E24" s="39">
        <v>0</v>
      </c>
      <c r="F24" s="39">
        <v>0</v>
      </c>
      <c r="G24" s="39">
        <f t="shared" si="0"/>
        <v>0</v>
      </c>
      <c r="H24" s="13"/>
    </row>
    <row r="25" spans="1:8" x14ac:dyDescent="0.2">
      <c r="A25" s="45" t="s">
        <v>10</v>
      </c>
      <c r="B25" s="46"/>
      <c r="C25" s="59"/>
      <c r="D25" s="47"/>
      <c r="E25" s="47"/>
      <c r="F25" s="47"/>
      <c r="G25" s="57">
        <f>SUM(G5:G24)</f>
        <v>6663076</v>
      </c>
      <c r="H25" s="13"/>
    </row>
    <row r="26" spans="1:8" x14ac:dyDescent="0.2">
      <c r="A26" s="1"/>
      <c r="B26" s="1"/>
      <c r="D26" s="13"/>
      <c r="E26" s="13"/>
      <c r="F26" s="13"/>
      <c r="G26" s="38"/>
      <c r="H26" s="13"/>
    </row>
    <row r="27" spans="1:8" ht="12.75" x14ac:dyDescent="0.2">
      <c r="A27"/>
      <c r="B27"/>
      <c r="C27"/>
      <c r="D27"/>
      <c r="E27"/>
      <c r="F27"/>
      <c r="G27"/>
    </row>
    <row r="28" spans="1:8" ht="12.75" x14ac:dyDescent="0.2">
      <c r="A28"/>
      <c r="B28"/>
      <c r="C28"/>
      <c r="D28"/>
      <c r="E28"/>
      <c r="F28"/>
      <c r="G28"/>
    </row>
    <row r="29" spans="1:8" ht="12.75" x14ac:dyDescent="0.2">
      <c r="A29"/>
      <c r="B29"/>
      <c r="C29"/>
      <c r="D29"/>
      <c r="E29"/>
      <c r="F29"/>
      <c r="G29"/>
    </row>
    <row r="30" spans="1:8" ht="12.75" x14ac:dyDescent="0.2">
      <c r="A30"/>
      <c r="B30"/>
      <c r="C30"/>
      <c r="D30"/>
      <c r="E30"/>
      <c r="F30"/>
      <c r="G30"/>
    </row>
    <row r="31" spans="1:8" ht="12.75" x14ac:dyDescent="0.2">
      <c r="A31"/>
      <c r="B31"/>
      <c r="C31"/>
      <c r="D31"/>
      <c r="E31"/>
      <c r="F31"/>
      <c r="G31"/>
    </row>
    <row r="32" spans="1:8" ht="12.75" x14ac:dyDescent="0.2">
      <c r="A32"/>
      <c r="B32"/>
      <c r="C32"/>
      <c r="D32"/>
      <c r="E32"/>
      <c r="F32"/>
      <c r="G32"/>
    </row>
    <row r="33" spans="1:7" ht="12.75" x14ac:dyDescent="0.2">
      <c r="A33"/>
      <c r="B33"/>
      <c r="C33"/>
      <c r="D33"/>
      <c r="E33"/>
      <c r="F33"/>
      <c r="G33"/>
    </row>
    <row r="34" spans="1:7" ht="12.75" x14ac:dyDescent="0.2">
      <c r="A34"/>
      <c r="B34"/>
      <c r="C34"/>
      <c r="D34"/>
      <c r="E34"/>
      <c r="F34"/>
      <c r="G34"/>
    </row>
    <row r="35" spans="1:7" ht="12.75" x14ac:dyDescent="0.2">
      <c r="A35"/>
      <c r="B35"/>
      <c r="C35"/>
      <c r="D35"/>
      <c r="E35"/>
      <c r="F35"/>
      <c r="G35"/>
    </row>
    <row r="36" spans="1:7" ht="12.75" x14ac:dyDescent="0.2">
      <c r="A36"/>
      <c r="B36"/>
      <c r="C36"/>
      <c r="D36"/>
      <c r="E36"/>
      <c r="F36"/>
      <c r="G36"/>
    </row>
    <row r="37" spans="1:7" ht="12.75" x14ac:dyDescent="0.2">
      <c r="A37"/>
      <c r="B37"/>
      <c r="C37"/>
      <c r="D37"/>
      <c r="E37"/>
      <c r="F37"/>
      <c r="G37"/>
    </row>
    <row r="38" spans="1:7" ht="12.75" x14ac:dyDescent="0.2">
      <c r="A38"/>
      <c r="B38"/>
      <c r="C38"/>
      <c r="D38"/>
      <c r="E38"/>
      <c r="F38"/>
      <c r="G38"/>
    </row>
    <row r="39" spans="1:7" ht="12.75" x14ac:dyDescent="0.2">
      <c r="A39"/>
      <c r="B39"/>
      <c r="C39"/>
      <c r="D39"/>
      <c r="E39"/>
      <c r="F39"/>
      <c r="G39"/>
    </row>
    <row r="40" spans="1:7" ht="12.75" x14ac:dyDescent="0.2">
      <c r="A40"/>
      <c r="B40"/>
      <c r="C40"/>
      <c r="D40"/>
      <c r="E40"/>
      <c r="F40"/>
      <c r="G40"/>
    </row>
    <row r="41" spans="1:7" ht="12.75" x14ac:dyDescent="0.2">
      <c r="A41"/>
      <c r="B41"/>
      <c r="C41"/>
      <c r="D41"/>
      <c r="E41"/>
      <c r="F41"/>
      <c r="G41"/>
    </row>
    <row r="42" spans="1:7" ht="12.75" x14ac:dyDescent="0.2">
      <c r="A42"/>
      <c r="B42"/>
      <c r="C42"/>
      <c r="D42"/>
      <c r="E42"/>
      <c r="F42"/>
      <c r="G42"/>
    </row>
    <row r="43" spans="1:7" ht="12.75" x14ac:dyDescent="0.2">
      <c r="A43"/>
      <c r="B43"/>
      <c r="C43"/>
      <c r="D43"/>
      <c r="E43"/>
      <c r="F43"/>
      <c r="G43"/>
    </row>
    <row r="44" spans="1:7" ht="12.75" x14ac:dyDescent="0.2">
      <c r="A44"/>
      <c r="B44"/>
      <c r="C44"/>
      <c r="D44"/>
      <c r="E44"/>
      <c r="F44"/>
      <c r="G44"/>
    </row>
    <row r="45" spans="1:7" ht="12.75" x14ac:dyDescent="0.2">
      <c r="A45"/>
      <c r="B45"/>
      <c r="C45"/>
      <c r="D45"/>
      <c r="E45"/>
      <c r="F45"/>
      <c r="G45"/>
    </row>
    <row r="46" spans="1:7" ht="12.75" x14ac:dyDescent="0.2">
      <c r="A46"/>
      <c r="B46"/>
      <c r="C46"/>
      <c r="D46"/>
      <c r="E46"/>
      <c r="F46"/>
      <c r="G46"/>
    </row>
    <row r="47" spans="1:7" ht="12.75" x14ac:dyDescent="0.2">
      <c r="A47"/>
      <c r="B47"/>
      <c r="C47"/>
      <c r="D47"/>
      <c r="E47"/>
      <c r="F47"/>
      <c r="G47"/>
    </row>
    <row r="48" spans="1:7" ht="12.75" x14ac:dyDescent="0.2">
      <c r="A48"/>
      <c r="B48"/>
      <c r="C48"/>
      <c r="D48"/>
      <c r="E48"/>
      <c r="F48"/>
      <c r="G48"/>
    </row>
    <row r="49" spans="1:7" ht="12.75" x14ac:dyDescent="0.2">
      <c r="A49"/>
      <c r="B49"/>
      <c r="C49"/>
      <c r="D49"/>
      <c r="E49"/>
      <c r="F49"/>
      <c r="G49"/>
    </row>
  </sheetData>
  <sheetProtection insertRows="0" deleteRows="0"/>
  <mergeCells count="8">
    <mergeCell ref="D3:D4"/>
    <mergeCell ref="E3:E4"/>
    <mergeCell ref="A2:A4"/>
    <mergeCell ref="C2:C4"/>
    <mergeCell ref="D2:E2"/>
    <mergeCell ref="F2:F4"/>
    <mergeCell ref="G2:G4"/>
    <mergeCell ref="B2:B4"/>
  </mergeCells>
  <pageMargins left="0.75" right="0.75" top="1" bottom="1" header="0" footer="0"/>
  <pageSetup scale="76" fitToHeight="5" orientation="landscape"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5">
    <pageSetUpPr fitToPage="1"/>
  </sheetPr>
  <dimension ref="A1:H23"/>
  <sheetViews>
    <sheetView showGridLines="0" zoomScaleNormal="100" workbookViewId="0">
      <selection activeCell="D1" sqref="D1:E1"/>
    </sheetView>
  </sheetViews>
  <sheetFormatPr baseColWidth="10" defaultColWidth="11.42578125" defaultRowHeight="11.25" x14ac:dyDescent="0.2"/>
  <cols>
    <col min="1" max="1" width="26.140625" style="3" customWidth="1"/>
    <col min="2" max="2" width="10.7109375" style="3" customWidth="1"/>
    <col min="3" max="3" width="22.85546875" style="3" customWidth="1"/>
    <col min="4" max="4" width="18.140625" style="3" customWidth="1"/>
    <col min="5" max="5" width="18.28515625" style="3" customWidth="1"/>
    <col min="6" max="6" width="9.140625" style="3" customWidth="1"/>
    <col min="7" max="7" width="12.42578125" style="3" bestFit="1" customWidth="1"/>
    <col min="8" max="16384" width="11.42578125" style="3"/>
  </cols>
  <sheetData>
    <row r="1" spans="1:8" ht="12.75" x14ac:dyDescent="0.2">
      <c r="A1" s="1" t="s">
        <v>26</v>
      </c>
      <c r="B1" s="71" t="s">
        <v>27</v>
      </c>
      <c r="D1"/>
      <c r="E1"/>
    </row>
    <row r="2" spans="1:8" x14ac:dyDescent="0.2">
      <c r="A2" s="83" t="s">
        <v>28</v>
      </c>
      <c r="B2" s="83" t="s">
        <v>2</v>
      </c>
      <c r="C2" s="92" t="s">
        <v>14</v>
      </c>
      <c r="D2" s="90" t="s">
        <v>15</v>
      </c>
      <c r="E2" s="91"/>
      <c r="F2" s="83" t="s">
        <v>29</v>
      </c>
      <c r="G2" s="76" t="s">
        <v>5</v>
      </c>
    </row>
    <row r="3" spans="1:8" x14ac:dyDescent="0.2">
      <c r="A3" s="84"/>
      <c r="B3" s="84"/>
      <c r="C3" s="93"/>
      <c r="D3" s="83" t="s">
        <v>30</v>
      </c>
      <c r="E3" s="83" t="s">
        <v>18</v>
      </c>
      <c r="F3" s="84"/>
      <c r="G3" s="77"/>
    </row>
    <row r="4" spans="1:8" x14ac:dyDescent="0.2">
      <c r="A4" s="85"/>
      <c r="B4" s="85"/>
      <c r="C4" s="94"/>
      <c r="D4" s="85"/>
      <c r="E4" s="85"/>
      <c r="F4" s="85"/>
      <c r="G4" s="78"/>
    </row>
    <row r="5" spans="1:8" x14ac:dyDescent="0.2">
      <c r="A5" s="58" t="s">
        <v>31</v>
      </c>
      <c r="B5" s="58" t="s">
        <v>9</v>
      </c>
      <c r="C5" s="58" t="s">
        <v>32</v>
      </c>
      <c r="D5" s="39">
        <v>0</v>
      </c>
      <c r="E5" s="39">
        <v>10000</v>
      </c>
      <c r="F5" s="39">
        <v>24</v>
      </c>
      <c r="G5" s="39">
        <f>(D5+E5)*F5</f>
        <v>240000</v>
      </c>
      <c r="H5" s="13"/>
    </row>
    <row r="6" spans="1:8" x14ac:dyDescent="0.2">
      <c r="A6" s="58" t="s">
        <v>33</v>
      </c>
      <c r="B6" s="58" t="s">
        <v>9</v>
      </c>
      <c r="C6" s="58" t="s">
        <v>34</v>
      </c>
      <c r="D6" s="39">
        <v>0</v>
      </c>
      <c r="E6" s="39">
        <v>5000</v>
      </c>
      <c r="F6" s="39">
        <v>19</v>
      </c>
      <c r="G6" s="39">
        <f t="shared" ref="G6:G12" si="0">(D6+E6)*F6</f>
        <v>95000</v>
      </c>
      <c r="H6" s="13"/>
    </row>
    <row r="7" spans="1:8" x14ac:dyDescent="0.2">
      <c r="A7" s="58"/>
      <c r="B7" s="58"/>
      <c r="C7" s="58"/>
      <c r="D7" s="39">
        <v>0</v>
      </c>
      <c r="E7" s="39">
        <v>0</v>
      </c>
      <c r="F7" s="39">
        <v>0</v>
      </c>
      <c r="G7" s="39">
        <f t="shared" si="0"/>
        <v>0</v>
      </c>
      <c r="H7" s="13"/>
    </row>
    <row r="8" spans="1:8" x14ac:dyDescent="0.2">
      <c r="A8" s="58"/>
      <c r="B8" s="58"/>
      <c r="C8" s="58"/>
      <c r="D8" s="39">
        <v>0</v>
      </c>
      <c r="E8" s="39">
        <v>0</v>
      </c>
      <c r="F8" s="39">
        <v>0</v>
      </c>
      <c r="G8" s="39">
        <f t="shared" si="0"/>
        <v>0</v>
      </c>
      <c r="H8" s="13"/>
    </row>
    <row r="9" spans="1:8" x14ac:dyDescent="0.2">
      <c r="A9" s="58"/>
      <c r="B9" s="58"/>
      <c r="C9" s="58"/>
      <c r="D9" s="39">
        <v>0</v>
      </c>
      <c r="E9" s="39">
        <v>0</v>
      </c>
      <c r="F9" s="39">
        <v>0</v>
      </c>
      <c r="G9" s="39">
        <f t="shared" si="0"/>
        <v>0</v>
      </c>
      <c r="H9" s="13"/>
    </row>
    <row r="10" spans="1:8" x14ac:dyDescent="0.2">
      <c r="A10" s="58"/>
      <c r="B10" s="58"/>
      <c r="C10" s="58"/>
      <c r="D10" s="39">
        <v>0</v>
      </c>
      <c r="E10" s="39">
        <v>0</v>
      </c>
      <c r="F10" s="39">
        <v>0</v>
      </c>
      <c r="G10" s="39">
        <f t="shared" si="0"/>
        <v>0</v>
      </c>
      <c r="H10" s="13"/>
    </row>
    <row r="11" spans="1:8" x14ac:dyDescent="0.2">
      <c r="A11" s="58"/>
      <c r="B11" s="58"/>
      <c r="C11" s="58"/>
      <c r="D11" s="39">
        <v>0</v>
      </c>
      <c r="E11" s="39">
        <v>0</v>
      </c>
      <c r="F11" s="39">
        <v>0</v>
      </c>
      <c r="G11" s="39">
        <f t="shared" si="0"/>
        <v>0</v>
      </c>
      <c r="H11" s="13"/>
    </row>
    <row r="12" spans="1:8" x14ac:dyDescent="0.2">
      <c r="A12" s="58"/>
      <c r="B12" s="58"/>
      <c r="C12" s="58"/>
      <c r="D12" s="39">
        <v>0</v>
      </c>
      <c r="E12" s="39">
        <v>0</v>
      </c>
      <c r="F12" s="39">
        <v>0</v>
      </c>
      <c r="G12" s="39">
        <f t="shared" si="0"/>
        <v>0</v>
      </c>
      <c r="H12" s="13"/>
    </row>
    <row r="13" spans="1:8" x14ac:dyDescent="0.2">
      <c r="A13" s="45" t="s">
        <v>10</v>
      </c>
      <c r="B13" s="46"/>
      <c r="C13" s="59"/>
      <c r="D13" s="47"/>
      <c r="E13" s="47"/>
      <c r="F13" s="47"/>
      <c r="G13" s="49">
        <f t="shared" ref="G13" si="1">SUM(G5:G12)</f>
        <v>335000</v>
      </c>
      <c r="H13" s="13"/>
    </row>
    <row r="14" spans="1:8" x14ac:dyDescent="0.2">
      <c r="A14" s="1"/>
      <c r="B14" s="1"/>
      <c r="D14" s="13"/>
      <c r="E14" s="13"/>
      <c r="F14" s="13"/>
      <c r="G14" s="38"/>
      <c r="H14" s="13"/>
    </row>
    <row r="15" spans="1:8" ht="12.75" x14ac:dyDescent="0.2">
      <c r="A15"/>
      <c r="B15"/>
      <c r="C15"/>
      <c r="D15"/>
      <c r="E15"/>
      <c r="F15"/>
      <c r="G15"/>
      <c r="H15"/>
    </row>
    <row r="16" spans="1:8" ht="12.75" x14ac:dyDescent="0.2">
      <c r="A16"/>
      <c r="B16"/>
      <c r="C16"/>
      <c r="D16"/>
      <c r="E16"/>
      <c r="F16"/>
      <c r="G16"/>
      <c r="H16"/>
    </row>
    <row r="17" spans="1:8" ht="12.75" x14ac:dyDescent="0.2">
      <c r="A17"/>
      <c r="B17"/>
      <c r="C17"/>
      <c r="D17"/>
      <c r="E17"/>
      <c r="F17"/>
      <c r="G17"/>
      <c r="H17"/>
    </row>
    <row r="18" spans="1:8" ht="12.75" x14ac:dyDescent="0.2">
      <c r="A18"/>
      <c r="B18"/>
      <c r="C18"/>
      <c r="D18"/>
      <c r="E18"/>
      <c r="F18"/>
      <c r="G18"/>
      <c r="H18"/>
    </row>
    <row r="19" spans="1:8" ht="12.75" x14ac:dyDescent="0.2">
      <c r="A19"/>
      <c r="B19"/>
      <c r="C19"/>
      <c r="D19"/>
      <c r="E19"/>
      <c r="F19"/>
      <c r="G19"/>
      <c r="H19"/>
    </row>
    <row r="20" spans="1:8" ht="12.75" x14ac:dyDescent="0.2">
      <c r="A20"/>
      <c r="B20"/>
      <c r="C20"/>
      <c r="D20"/>
      <c r="E20"/>
      <c r="F20"/>
      <c r="G20"/>
      <c r="H20"/>
    </row>
    <row r="21" spans="1:8" ht="12.75" x14ac:dyDescent="0.2">
      <c r="A21"/>
      <c r="B21"/>
      <c r="C21"/>
      <c r="D21"/>
      <c r="E21"/>
      <c r="F21"/>
      <c r="G21"/>
      <c r="H21"/>
    </row>
    <row r="22" spans="1:8" ht="12.75" x14ac:dyDescent="0.2">
      <c r="A22"/>
      <c r="B22"/>
      <c r="C22"/>
      <c r="D22"/>
      <c r="E22"/>
      <c r="F22"/>
      <c r="G22"/>
      <c r="H22"/>
    </row>
    <row r="23" spans="1:8" ht="12.75" x14ac:dyDescent="0.2">
      <c r="A23"/>
      <c r="B23"/>
      <c r="C23"/>
      <c r="D23"/>
      <c r="E23"/>
      <c r="F23"/>
      <c r="G23"/>
      <c r="H23"/>
    </row>
  </sheetData>
  <sheetProtection insertRows="0" deleteRows="0"/>
  <mergeCells count="8">
    <mergeCell ref="A2:A4"/>
    <mergeCell ref="D2:E2"/>
    <mergeCell ref="D3:D4"/>
    <mergeCell ref="E3:E4"/>
    <mergeCell ref="B2:B4"/>
    <mergeCell ref="C2:C4"/>
    <mergeCell ref="F2:F4"/>
    <mergeCell ref="G2:G4"/>
  </mergeCells>
  <phoneticPr fontId="0" type="noConversion"/>
  <pageMargins left="0.75" right="0.75" top="1" bottom="1" header="0" footer="0"/>
  <pageSetup scale="76" fitToHeight="5" orientation="landscape"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I118"/>
  <sheetViews>
    <sheetView showGridLines="0" zoomScaleNormal="100" workbookViewId="0">
      <selection activeCell="E9" sqref="E9"/>
    </sheetView>
  </sheetViews>
  <sheetFormatPr baseColWidth="10" defaultColWidth="11.42578125" defaultRowHeight="11.25" x14ac:dyDescent="0.2"/>
  <cols>
    <col min="1" max="1" width="41.42578125" style="3" customWidth="1"/>
    <col min="2" max="2" width="11.5703125" style="3" customWidth="1"/>
    <col min="3" max="3" width="14.42578125" style="3" customWidth="1"/>
    <col min="4" max="4" width="11.42578125" style="3" customWidth="1"/>
    <col min="5" max="16384" width="11.42578125" style="3"/>
  </cols>
  <sheetData>
    <row r="1" spans="1:6" ht="12.75" x14ac:dyDescent="0.2">
      <c r="A1"/>
    </row>
    <row r="2" spans="1:6" ht="11.25" customHeight="1" x14ac:dyDescent="0.2">
      <c r="A2"/>
      <c r="B2"/>
      <c r="C2"/>
      <c r="D2"/>
      <c r="E2"/>
    </row>
    <row r="3" spans="1:6" ht="12.75" x14ac:dyDescent="0.2">
      <c r="A3"/>
      <c r="B3"/>
      <c r="C3"/>
      <c r="D3"/>
      <c r="E3"/>
    </row>
    <row r="4" spans="1:6" ht="12.75" x14ac:dyDescent="0.2">
      <c r="A4"/>
      <c r="B4"/>
      <c r="C4"/>
      <c r="D4"/>
      <c r="E4"/>
    </row>
    <row r="5" spans="1:6" ht="12.75" x14ac:dyDescent="0.2">
      <c r="A5" s="1" t="s">
        <v>35</v>
      </c>
      <c r="B5"/>
      <c r="C5"/>
      <c r="D5"/>
    </row>
    <row r="6" spans="1:6" x14ac:dyDescent="0.2">
      <c r="A6" s="80" t="s">
        <v>14</v>
      </c>
      <c r="B6" s="83" t="s">
        <v>2</v>
      </c>
      <c r="C6" s="83" t="s">
        <v>36</v>
      </c>
      <c r="D6" s="83" t="s">
        <v>37</v>
      </c>
      <c r="E6" s="76" t="s">
        <v>5</v>
      </c>
    </row>
    <row r="7" spans="1:6" ht="11.25" customHeight="1" x14ac:dyDescent="0.2">
      <c r="A7" s="95"/>
      <c r="B7" s="84"/>
      <c r="C7" s="84"/>
      <c r="D7" s="84"/>
      <c r="E7" s="77"/>
    </row>
    <row r="8" spans="1:6" x14ac:dyDescent="0.2">
      <c r="A8" s="96"/>
      <c r="B8" s="85"/>
      <c r="C8" s="85"/>
      <c r="D8" s="85"/>
      <c r="E8" s="78"/>
    </row>
    <row r="9" spans="1:6" x14ac:dyDescent="0.2">
      <c r="A9" s="43" t="s">
        <v>38</v>
      </c>
      <c r="B9" s="43" t="s">
        <v>39</v>
      </c>
      <c r="C9" s="44">
        <v>5000</v>
      </c>
      <c r="D9" s="44">
        <v>400</v>
      </c>
      <c r="E9" s="39">
        <f>C9*D9</f>
        <v>2000000</v>
      </c>
      <c r="F9" s="13"/>
    </row>
    <row r="10" spans="1:6" x14ac:dyDescent="0.2">
      <c r="A10" s="43" t="s">
        <v>40</v>
      </c>
      <c r="B10" s="43" t="s">
        <v>39</v>
      </c>
      <c r="C10" s="44">
        <v>10000</v>
      </c>
      <c r="D10" s="44">
        <v>400</v>
      </c>
      <c r="E10" s="39">
        <f t="shared" ref="E10:E18" si="0">C10*D10</f>
        <v>4000000</v>
      </c>
      <c r="F10" s="13"/>
    </row>
    <row r="11" spans="1:6" x14ac:dyDescent="0.2">
      <c r="A11" s="43" t="s">
        <v>41</v>
      </c>
      <c r="B11" s="43" t="s">
        <v>39</v>
      </c>
      <c r="C11" s="44">
        <v>6000</v>
      </c>
      <c r="D11" s="44">
        <v>120</v>
      </c>
      <c r="E11" s="39">
        <f t="shared" si="0"/>
        <v>720000</v>
      </c>
      <c r="F11" s="13"/>
    </row>
    <row r="12" spans="1:6" x14ac:dyDescent="0.2">
      <c r="A12" s="43"/>
      <c r="B12" s="43"/>
      <c r="C12" s="44">
        <v>0</v>
      </c>
      <c r="D12" s="44">
        <v>0</v>
      </c>
      <c r="E12" s="39">
        <f t="shared" si="0"/>
        <v>0</v>
      </c>
      <c r="F12" s="13"/>
    </row>
    <row r="13" spans="1:6" x14ac:dyDescent="0.2">
      <c r="A13" s="43"/>
      <c r="B13" s="43"/>
      <c r="C13" s="44">
        <v>0</v>
      </c>
      <c r="D13" s="44">
        <v>0</v>
      </c>
      <c r="E13" s="39">
        <f t="shared" si="0"/>
        <v>0</v>
      </c>
      <c r="F13" s="13"/>
    </row>
    <row r="14" spans="1:6" x14ac:dyDescent="0.2">
      <c r="A14" s="43"/>
      <c r="B14" s="43"/>
      <c r="C14" s="44">
        <v>0</v>
      </c>
      <c r="D14" s="44">
        <v>0</v>
      </c>
      <c r="E14" s="39">
        <f t="shared" si="0"/>
        <v>0</v>
      </c>
      <c r="F14" s="13"/>
    </row>
    <row r="15" spans="1:6" x14ac:dyDescent="0.2">
      <c r="A15" s="43"/>
      <c r="B15" s="43"/>
      <c r="C15" s="44">
        <v>0</v>
      </c>
      <c r="D15" s="44">
        <v>0</v>
      </c>
      <c r="E15" s="39">
        <f t="shared" si="0"/>
        <v>0</v>
      </c>
      <c r="F15" s="13"/>
    </row>
    <row r="16" spans="1:6" x14ac:dyDescent="0.2">
      <c r="A16" s="43"/>
      <c r="B16" s="43"/>
      <c r="C16" s="44">
        <v>0</v>
      </c>
      <c r="D16" s="44">
        <v>0</v>
      </c>
      <c r="E16" s="39">
        <f t="shared" si="0"/>
        <v>0</v>
      </c>
      <c r="F16" s="13"/>
    </row>
    <row r="17" spans="1:6" x14ac:dyDescent="0.2">
      <c r="A17" s="43"/>
      <c r="B17" s="43"/>
      <c r="C17" s="44">
        <v>0</v>
      </c>
      <c r="D17" s="44">
        <v>0</v>
      </c>
      <c r="E17" s="39">
        <f t="shared" si="0"/>
        <v>0</v>
      </c>
      <c r="F17" s="13"/>
    </row>
    <row r="18" spans="1:6" x14ac:dyDescent="0.2">
      <c r="A18" s="43"/>
      <c r="B18" s="43"/>
      <c r="C18" s="44">
        <v>0</v>
      </c>
      <c r="D18" s="44">
        <v>0</v>
      </c>
      <c r="E18" s="39">
        <f t="shared" si="0"/>
        <v>0</v>
      </c>
      <c r="F18" s="13"/>
    </row>
    <row r="19" spans="1:6" x14ac:dyDescent="0.2">
      <c r="A19" s="45" t="s">
        <v>10</v>
      </c>
      <c r="B19" s="46"/>
      <c r="C19" s="47"/>
      <c r="D19" s="48"/>
      <c r="E19" s="57">
        <f t="shared" ref="E19" si="1">SUM(E9:E18)</f>
        <v>6720000</v>
      </c>
      <c r="F19" s="13"/>
    </row>
    <row r="20" spans="1:6" ht="12.75" x14ac:dyDescent="0.2">
      <c r="A20"/>
      <c r="B20" s="56"/>
      <c r="F20" s="13"/>
    </row>
    <row r="21" spans="1:6" x14ac:dyDescent="0.2">
      <c r="A21" s="56"/>
    </row>
    <row r="22" spans="1:6" ht="12.75" x14ac:dyDescent="0.2">
      <c r="A22" s="1" t="s">
        <v>42</v>
      </c>
      <c r="B22"/>
      <c r="C22"/>
    </row>
    <row r="23" spans="1:6" x14ac:dyDescent="0.2">
      <c r="A23" s="74" t="s">
        <v>43</v>
      </c>
      <c r="B23" s="83" t="s">
        <v>2</v>
      </c>
      <c r="C23" s="83" t="s">
        <v>36</v>
      </c>
      <c r="D23" s="83" t="s">
        <v>37</v>
      </c>
      <c r="E23" s="76" t="s">
        <v>5</v>
      </c>
    </row>
    <row r="24" spans="1:6" ht="11.25" customHeight="1" x14ac:dyDescent="0.2">
      <c r="A24" s="95"/>
      <c r="B24" s="84"/>
      <c r="C24" s="84"/>
      <c r="D24" s="84"/>
      <c r="E24" s="77"/>
    </row>
    <row r="25" spans="1:6" x14ac:dyDescent="0.2">
      <c r="A25" s="96"/>
      <c r="B25" s="85"/>
      <c r="C25" s="85"/>
      <c r="D25" s="85"/>
      <c r="E25" s="78"/>
    </row>
    <row r="26" spans="1:6" x14ac:dyDescent="0.2">
      <c r="A26" s="58" t="s">
        <v>82</v>
      </c>
      <c r="B26" s="58" t="s">
        <v>20</v>
      </c>
      <c r="C26" s="39">
        <v>5000</v>
      </c>
      <c r="D26" s="39">
        <v>5</v>
      </c>
      <c r="E26" s="39">
        <f>C26*D26</f>
        <v>25000</v>
      </c>
    </row>
    <row r="27" spans="1:6" x14ac:dyDescent="0.2">
      <c r="A27" s="58"/>
      <c r="B27" s="58"/>
      <c r="C27" s="39">
        <v>0</v>
      </c>
      <c r="D27" s="39">
        <v>0</v>
      </c>
      <c r="E27" s="39">
        <f>C27*D27</f>
        <v>0</v>
      </c>
    </row>
    <row r="28" spans="1:6" x14ac:dyDescent="0.2">
      <c r="A28" s="58"/>
      <c r="B28" s="58"/>
      <c r="C28" s="39">
        <v>0</v>
      </c>
      <c r="D28" s="39">
        <v>0</v>
      </c>
      <c r="E28" s="39">
        <f>C28*D28</f>
        <v>0</v>
      </c>
    </row>
    <row r="29" spans="1:6" x14ac:dyDescent="0.2">
      <c r="A29" s="58"/>
      <c r="B29" s="58"/>
      <c r="C29" s="39">
        <v>0</v>
      </c>
      <c r="D29" s="39">
        <v>0</v>
      </c>
      <c r="E29" s="39">
        <f>C29*D29</f>
        <v>0</v>
      </c>
    </row>
    <row r="30" spans="1:6" x14ac:dyDescent="0.2">
      <c r="A30" s="45" t="s">
        <v>10</v>
      </c>
      <c r="B30" s="46"/>
      <c r="C30" s="47"/>
      <c r="D30" s="48"/>
      <c r="E30" s="57">
        <f t="shared" ref="E30" si="2">SUM(E26:E29)</f>
        <v>25000</v>
      </c>
    </row>
    <row r="31" spans="1:6" ht="12.75" x14ac:dyDescent="0.2">
      <c r="A31"/>
      <c r="B31" s="1"/>
      <c r="C31" s="13"/>
      <c r="D31" s="13"/>
      <c r="E31" s="38"/>
    </row>
    <row r="32" spans="1:6" x14ac:dyDescent="0.2">
      <c r="A32" s="1"/>
      <c r="B32" s="1"/>
    </row>
    <row r="33" spans="1:9" ht="12.75" x14ac:dyDescent="0.2">
      <c r="A33"/>
      <c r="B33"/>
      <c r="C33"/>
      <c r="D33"/>
      <c r="E33"/>
    </row>
    <row r="34" spans="1:9" ht="12.75" x14ac:dyDescent="0.2">
      <c r="A34"/>
      <c r="B34"/>
      <c r="C34"/>
      <c r="D34"/>
      <c r="E34"/>
    </row>
    <row r="35" spans="1:9" ht="11.25" customHeight="1" x14ac:dyDescent="0.2">
      <c r="A35"/>
      <c r="B35"/>
      <c r="C35"/>
      <c r="D35"/>
      <c r="E35"/>
    </row>
    <row r="36" spans="1:9" ht="12.75" x14ac:dyDescent="0.2">
      <c r="A36"/>
      <c r="B36"/>
      <c r="C36"/>
      <c r="D36"/>
      <c r="E36"/>
    </row>
    <row r="37" spans="1:9" ht="12.75" x14ac:dyDescent="0.2">
      <c r="A37"/>
      <c r="B37"/>
      <c r="C37"/>
      <c r="D37"/>
      <c r="E37"/>
    </row>
    <row r="38" spans="1:9" ht="12.75" x14ac:dyDescent="0.2">
      <c r="A38"/>
      <c r="B38"/>
      <c r="C38"/>
      <c r="D38"/>
      <c r="E38"/>
    </row>
    <row r="39" spans="1:9" ht="12.75" x14ac:dyDescent="0.2">
      <c r="A39"/>
      <c r="B39"/>
      <c r="C39"/>
      <c r="D39"/>
      <c r="E39"/>
    </row>
    <row r="40" spans="1:9" ht="12.75" x14ac:dyDescent="0.2">
      <c r="A40"/>
      <c r="B40"/>
      <c r="C40"/>
      <c r="D40"/>
      <c r="E40"/>
    </row>
    <row r="41" spans="1:9" ht="12.75" x14ac:dyDescent="0.2">
      <c r="A41"/>
      <c r="B41"/>
      <c r="C41"/>
      <c r="D41"/>
      <c r="E41"/>
    </row>
    <row r="42" spans="1:9" ht="12.75" x14ac:dyDescent="0.2">
      <c r="A42"/>
      <c r="B42"/>
      <c r="C42"/>
      <c r="D42"/>
      <c r="E42"/>
      <c r="F42" s="13"/>
      <c r="G42" s="13"/>
      <c r="H42" s="13"/>
      <c r="I42" s="13"/>
    </row>
    <row r="43" spans="1:9" ht="12.75" x14ac:dyDescent="0.2">
      <c r="A43"/>
      <c r="B43"/>
      <c r="C43"/>
      <c r="D43"/>
      <c r="E43"/>
    </row>
    <row r="44" spans="1:9" ht="12.75" x14ac:dyDescent="0.2">
      <c r="A44"/>
      <c r="B44"/>
      <c r="C44"/>
      <c r="D44"/>
      <c r="E44"/>
      <c r="F44"/>
    </row>
    <row r="45" spans="1:9" ht="12.75" customHeight="1" x14ac:dyDescent="0.2">
      <c r="A45"/>
      <c r="B45"/>
      <c r="C45"/>
      <c r="D45"/>
      <c r="E45"/>
      <c r="F45"/>
    </row>
    <row r="46" spans="1:9" ht="11.25" customHeight="1" x14ac:dyDescent="0.2">
      <c r="A46"/>
      <c r="B46"/>
      <c r="C46"/>
      <c r="D46"/>
      <c r="E46"/>
      <c r="F46"/>
    </row>
    <row r="47" spans="1:9" ht="12.75" x14ac:dyDescent="0.2">
      <c r="A47"/>
      <c r="B47"/>
      <c r="C47"/>
      <c r="D47"/>
      <c r="E47"/>
      <c r="F47"/>
    </row>
    <row r="48" spans="1:9" ht="12.75" x14ac:dyDescent="0.2">
      <c r="A48"/>
      <c r="B48"/>
      <c r="C48"/>
      <c r="D48"/>
      <c r="E48"/>
      <c r="F48"/>
      <c r="G48" s="13"/>
    </row>
    <row r="49" spans="1:7" ht="12.75" x14ac:dyDescent="0.2">
      <c r="A49"/>
      <c r="B49"/>
      <c r="C49"/>
      <c r="D49"/>
      <c r="E49"/>
      <c r="F49"/>
      <c r="G49" s="13"/>
    </row>
    <row r="50" spans="1:7" ht="12.75" x14ac:dyDescent="0.2">
      <c r="A50"/>
      <c r="B50"/>
      <c r="C50"/>
      <c r="D50"/>
      <c r="E50"/>
      <c r="F50"/>
      <c r="G50" s="13"/>
    </row>
    <row r="51" spans="1:7" ht="12.75" x14ac:dyDescent="0.2">
      <c r="A51"/>
      <c r="B51"/>
      <c r="C51"/>
      <c r="D51"/>
      <c r="E51"/>
      <c r="F51"/>
      <c r="G51" s="13"/>
    </row>
    <row r="52" spans="1:7" ht="12.75" x14ac:dyDescent="0.2">
      <c r="A52"/>
      <c r="B52"/>
      <c r="C52"/>
      <c r="D52"/>
      <c r="E52"/>
      <c r="F52"/>
      <c r="G52" s="13"/>
    </row>
    <row r="53" spans="1:7" ht="12.75" x14ac:dyDescent="0.2">
      <c r="A53"/>
      <c r="B53"/>
      <c r="C53"/>
      <c r="D53"/>
      <c r="E53"/>
      <c r="F53"/>
      <c r="G53" s="13"/>
    </row>
    <row r="54" spans="1:7" ht="12.75" x14ac:dyDescent="0.2">
      <c r="A54"/>
      <c r="B54"/>
      <c r="C54"/>
      <c r="D54"/>
      <c r="E54"/>
      <c r="F54"/>
      <c r="G54" s="13"/>
    </row>
    <row r="55" spans="1:7" ht="12.75" x14ac:dyDescent="0.2">
      <c r="A55"/>
      <c r="B55"/>
      <c r="C55"/>
      <c r="D55"/>
      <c r="E55"/>
      <c r="F55"/>
      <c r="G55" s="13"/>
    </row>
    <row r="56" spans="1:7" ht="12.75" x14ac:dyDescent="0.2">
      <c r="A56"/>
      <c r="B56"/>
      <c r="C56"/>
      <c r="D56"/>
      <c r="E56"/>
      <c r="F56"/>
      <c r="G56" s="13"/>
    </row>
    <row r="57" spans="1:7" ht="12.75" x14ac:dyDescent="0.2">
      <c r="A57"/>
      <c r="B57"/>
      <c r="C57"/>
      <c r="D57"/>
      <c r="E57"/>
      <c r="F57"/>
      <c r="G57" s="13"/>
    </row>
    <row r="58" spans="1:7" ht="12.75" x14ac:dyDescent="0.2">
      <c r="A58"/>
      <c r="B58"/>
      <c r="C58"/>
      <c r="D58"/>
      <c r="E58"/>
      <c r="F58"/>
      <c r="G58" s="38"/>
    </row>
    <row r="59" spans="1:7" ht="12.75" x14ac:dyDescent="0.2">
      <c r="A59"/>
      <c r="B59"/>
      <c r="C59"/>
      <c r="D59"/>
      <c r="E59"/>
      <c r="F59"/>
    </row>
    <row r="60" spans="1:7" ht="12.75" customHeight="1" x14ac:dyDescent="0.2">
      <c r="A60"/>
      <c r="B60"/>
      <c r="C60"/>
      <c r="D60"/>
      <c r="E60"/>
      <c r="F60"/>
      <c r="G60" s="73" t="s">
        <v>6</v>
      </c>
    </row>
    <row r="61" spans="1:7" ht="11.25" customHeight="1" x14ac:dyDescent="0.2">
      <c r="A61"/>
      <c r="B61"/>
      <c r="C61"/>
      <c r="D61"/>
      <c r="E61"/>
      <c r="F61"/>
      <c r="G61" s="73"/>
    </row>
    <row r="62" spans="1:7" ht="12.75" x14ac:dyDescent="0.2">
      <c r="A62"/>
      <c r="B62"/>
      <c r="C62"/>
      <c r="D62"/>
      <c r="E62"/>
      <c r="F62"/>
      <c r="G62" s="73"/>
    </row>
    <row r="63" spans="1:7" ht="12.75" x14ac:dyDescent="0.2">
      <c r="A63"/>
      <c r="B63"/>
      <c r="C63"/>
      <c r="D63"/>
      <c r="E63"/>
      <c r="F63"/>
      <c r="G63" s="39">
        <f>SUM(F63:F63)</f>
        <v>0</v>
      </c>
    </row>
    <row r="64" spans="1:7" ht="12.75" x14ac:dyDescent="0.2">
      <c r="A64"/>
      <c r="B64"/>
      <c r="C64"/>
      <c r="D64"/>
      <c r="E64"/>
      <c r="F64"/>
      <c r="G64" s="39">
        <f>SUM(F64:F64)</f>
        <v>0</v>
      </c>
    </row>
    <row r="65" spans="1:7" ht="12.75" x14ac:dyDescent="0.2">
      <c r="A65"/>
      <c r="B65"/>
      <c r="C65"/>
      <c r="D65"/>
      <c r="E65"/>
      <c r="F65"/>
      <c r="G65" s="39">
        <f>SUM(F65:F65)</f>
        <v>0</v>
      </c>
    </row>
    <row r="66" spans="1:7" ht="12.75" x14ac:dyDescent="0.2">
      <c r="A66"/>
      <c r="B66"/>
      <c r="C66"/>
      <c r="D66"/>
      <c r="E66"/>
      <c r="F66"/>
      <c r="G66" s="39">
        <f>SUM(F66:F66)</f>
        <v>0</v>
      </c>
    </row>
    <row r="67" spans="1:7" ht="12.75" x14ac:dyDescent="0.2">
      <c r="A67"/>
      <c r="B67"/>
      <c r="C67"/>
      <c r="D67"/>
      <c r="E67"/>
      <c r="F67"/>
      <c r="G67" s="39">
        <f>SUM(F67:F67)</f>
        <v>0</v>
      </c>
    </row>
    <row r="68" spans="1:7" ht="12.75" x14ac:dyDescent="0.2">
      <c r="A68"/>
      <c r="B68"/>
      <c r="C68"/>
      <c r="D68"/>
      <c r="E68"/>
      <c r="F68"/>
      <c r="G68" s="39">
        <f>SUM(F68:F68)</f>
        <v>0</v>
      </c>
    </row>
    <row r="69" spans="1:7" ht="12.75" x14ac:dyDescent="0.2">
      <c r="A69"/>
      <c r="B69"/>
      <c r="C69"/>
      <c r="D69"/>
      <c r="E69"/>
      <c r="F69"/>
      <c r="G69" s="39">
        <f>SUM(F69:F69)</f>
        <v>0</v>
      </c>
    </row>
    <row r="70" spans="1:7" ht="12.75" x14ac:dyDescent="0.2">
      <c r="A70"/>
      <c r="B70"/>
      <c r="C70"/>
      <c r="D70"/>
      <c r="E70"/>
      <c r="F70"/>
      <c r="G70" s="39">
        <f>SUM(F70:F70)</f>
        <v>0</v>
      </c>
    </row>
    <row r="71" spans="1:7" ht="12.75" x14ac:dyDescent="0.2">
      <c r="A71"/>
      <c r="B71"/>
      <c r="C71"/>
      <c r="D71"/>
      <c r="E71"/>
      <c r="F71"/>
      <c r="G71" s="39">
        <f>SUM(F71:F71)</f>
        <v>0</v>
      </c>
    </row>
    <row r="72" spans="1:7" ht="13.5" thickBot="1" x14ac:dyDescent="0.25">
      <c r="A72"/>
      <c r="B72"/>
      <c r="C72"/>
      <c r="D72"/>
      <c r="E72"/>
      <c r="F72"/>
      <c r="G72" s="60">
        <f t="shared" ref="G72" si="3">SUM(G63:G71)</f>
        <v>0</v>
      </c>
    </row>
    <row r="73" spans="1:7" ht="23.25" customHeight="1" thickBot="1" x14ac:dyDescent="0.25">
      <c r="A73"/>
      <c r="B73"/>
      <c r="C73"/>
      <c r="D73"/>
      <c r="E73"/>
      <c r="F73"/>
      <c r="G73" s="15" t="e">
        <f>IF(G72=#REF!,"Monto Total Validado","Error. Existe Diferencia entre Total y Total Proyecto")</f>
        <v>#REF!</v>
      </c>
    </row>
    <row r="74" spans="1:7" ht="12.75" x14ac:dyDescent="0.2">
      <c r="A74"/>
      <c r="B74"/>
      <c r="C74"/>
      <c r="D74"/>
      <c r="E74"/>
      <c r="F74"/>
      <c r="G74" s="38"/>
    </row>
    <row r="75" spans="1:7" ht="12.75" x14ac:dyDescent="0.2">
      <c r="A75"/>
      <c r="B75"/>
      <c r="C75"/>
      <c r="D75"/>
      <c r="E75"/>
      <c r="F75"/>
    </row>
    <row r="76" spans="1:7" ht="12.75" x14ac:dyDescent="0.2">
      <c r="A76"/>
      <c r="B76"/>
      <c r="C76"/>
      <c r="D76"/>
      <c r="E76"/>
      <c r="F76"/>
    </row>
    <row r="77" spans="1:7" ht="11.25" customHeight="1" x14ac:dyDescent="0.2">
      <c r="A77"/>
      <c r="B77"/>
      <c r="C77"/>
      <c r="D77"/>
      <c r="E77"/>
      <c r="F77"/>
    </row>
    <row r="78" spans="1:7" ht="12.75" x14ac:dyDescent="0.2">
      <c r="A78"/>
      <c r="B78"/>
      <c r="C78"/>
      <c r="D78"/>
      <c r="E78"/>
      <c r="F78"/>
    </row>
    <row r="79" spans="1:7" ht="12.75" x14ac:dyDescent="0.2">
      <c r="A79"/>
      <c r="B79"/>
      <c r="C79"/>
      <c r="D79"/>
      <c r="E79"/>
      <c r="F79"/>
    </row>
    <row r="80" spans="1:7" ht="12.75" x14ac:dyDescent="0.2">
      <c r="A80"/>
      <c r="B80"/>
      <c r="C80"/>
      <c r="D80"/>
      <c r="E80"/>
      <c r="F80"/>
    </row>
    <row r="81" spans="1:6" ht="12.75" x14ac:dyDescent="0.2">
      <c r="A81"/>
      <c r="B81"/>
      <c r="C81"/>
      <c r="D81"/>
      <c r="E81"/>
      <c r="F81"/>
    </row>
    <row r="82" spans="1:6" ht="12.75" x14ac:dyDescent="0.2">
      <c r="A82"/>
      <c r="B82"/>
      <c r="C82"/>
      <c r="D82"/>
      <c r="E82"/>
      <c r="F82"/>
    </row>
    <row r="83" spans="1:6" ht="12.75" x14ac:dyDescent="0.2">
      <c r="A83"/>
      <c r="B83"/>
      <c r="C83"/>
      <c r="D83"/>
      <c r="E83"/>
      <c r="F83"/>
    </row>
    <row r="84" spans="1:6" ht="12.75" x14ac:dyDescent="0.2">
      <c r="A84"/>
      <c r="B84"/>
      <c r="C84"/>
      <c r="D84"/>
      <c r="E84"/>
      <c r="F84"/>
    </row>
    <row r="85" spans="1:6" ht="12.75" x14ac:dyDescent="0.2">
      <c r="A85"/>
      <c r="B85"/>
      <c r="C85"/>
      <c r="D85"/>
      <c r="E85"/>
      <c r="F85"/>
    </row>
    <row r="86" spans="1:6" ht="12.75" x14ac:dyDescent="0.2">
      <c r="A86"/>
      <c r="B86"/>
      <c r="C86"/>
      <c r="D86"/>
      <c r="E86"/>
      <c r="F86"/>
    </row>
    <row r="87" spans="1:6" ht="11.25" customHeight="1" x14ac:dyDescent="0.2">
      <c r="A87"/>
      <c r="B87"/>
      <c r="C87"/>
      <c r="D87"/>
      <c r="E87"/>
      <c r="F87"/>
    </row>
    <row r="88" spans="1:6" ht="12.75" x14ac:dyDescent="0.2">
      <c r="A88"/>
      <c r="B88"/>
      <c r="C88"/>
      <c r="D88"/>
      <c r="E88"/>
      <c r="F88"/>
    </row>
    <row r="89" spans="1:6" ht="12.75" x14ac:dyDescent="0.2">
      <c r="A89"/>
      <c r="B89"/>
      <c r="C89"/>
      <c r="D89"/>
      <c r="E89"/>
      <c r="F89"/>
    </row>
    <row r="90" spans="1:6" ht="12.75" x14ac:dyDescent="0.2">
      <c r="A90"/>
      <c r="B90"/>
      <c r="C90"/>
      <c r="D90"/>
      <c r="E90"/>
      <c r="F90"/>
    </row>
    <row r="91" spans="1:6" ht="12.75" x14ac:dyDescent="0.2">
      <c r="A91"/>
      <c r="B91"/>
      <c r="C91"/>
      <c r="D91"/>
      <c r="E91"/>
      <c r="F91"/>
    </row>
    <row r="92" spans="1:6" ht="12.75" x14ac:dyDescent="0.2">
      <c r="A92"/>
      <c r="B92"/>
      <c r="C92"/>
      <c r="D92"/>
      <c r="E92"/>
      <c r="F92"/>
    </row>
    <row r="93" spans="1:6" ht="12.75" x14ac:dyDescent="0.2">
      <c r="A93"/>
      <c r="B93"/>
      <c r="C93"/>
      <c r="D93"/>
      <c r="E93"/>
      <c r="F93"/>
    </row>
    <row r="94" spans="1:6" ht="12.75" x14ac:dyDescent="0.2">
      <c r="A94"/>
      <c r="B94"/>
      <c r="C94"/>
      <c r="D94"/>
      <c r="E94"/>
      <c r="F94"/>
    </row>
    <row r="95" spans="1:6" ht="12.75" customHeight="1" x14ac:dyDescent="0.2">
      <c r="A95"/>
      <c r="B95"/>
      <c r="C95"/>
      <c r="D95"/>
      <c r="E95"/>
      <c r="F95"/>
    </row>
    <row r="96" spans="1:6" ht="12.75" x14ac:dyDescent="0.2">
      <c r="A96"/>
      <c r="B96"/>
      <c r="C96"/>
      <c r="D96"/>
      <c r="E96"/>
      <c r="F96"/>
    </row>
    <row r="97" spans="1:6" ht="12.75" x14ac:dyDescent="0.2">
      <c r="A97"/>
      <c r="B97"/>
      <c r="C97"/>
      <c r="D97"/>
      <c r="E97"/>
      <c r="F97"/>
    </row>
    <row r="98" spans="1:6" ht="12.75" x14ac:dyDescent="0.2">
      <c r="A98"/>
      <c r="B98"/>
      <c r="C98"/>
      <c r="D98"/>
      <c r="E98"/>
      <c r="F98"/>
    </row>
    <row r="99" spans="1:6" ht="12.75" x14ac:dyDescent="0.2">
      <c r="A99"/>
      <c r="B99"/>
      <c r="C99"/>
      <c r="D99"/>
      <c r="E99"/>
      <c r="F99"/>
    </row>
    <row r="100" spans="1:6" ht="12.75" x14ac:dyDescent="0.2">
      <c r="A100"/>
      <c r="B100"/>
      <c r="C100"/>
      <c r="D100"/>
      <c r="E100"/>
      <c r="F100"/>
    </row>
    <row r="101" spans="1:6" ht="12.75" x14ac:dyDescent="0.2">
      <c r="A101"/>
      <c r="B101"/>
      <c r="C101"/>
      <c r="D101"/>
      <c r="E101"/>
      <c r="F101"/>
    </row>
    <row r="102" spans="1:6" ht="12.75" x14ac:dyDescent="0.2">
      <c r="A102"/>
      <c r="B102"/>
      <c r="C102"/>
      <c r="D102"/>
      <c r="E102"/>
      <c r="F102"/>
    </row>
    <row r="103" spans="1:6" ht="12.75" x14ac:dyDescent="0.2">
      <c r="A103"/>
      <c r="B103"/>
      <c r="C103"/>
      <c r="D103"/>
      <c r="E103"/>
      <c r="F103"/>
    </row>
    <row r="104" spans="1:6" ht="12.75" x14ac:dyDescent="0.2">
      <c r="A104"/>
      <c r="B104"/>
      <c r="C104"/>
      <c r="D104"/>
      <c r="E104"/>
      <c r="F104"/>
    </row>
    <row r="105" spans="1:6" ht="12.75" x14ac:dyDescent="0.2">
      <c r="A105"/>
      <c r="B105"/>
      <c r="C105"/>
      <c r="D105"/>
      <c r="E105"/>
      <c r="F105"/>
    </row>
    <row r="106" spans="1:6" ht="12.75" x14ac:dyDescent="0.2">
      <c r="A106"/>
      <c r="B106"/>
      <c r="C106"/>
      <c r="D106"/>
      <c r="E106"/>
      <c r="F106"/>
    </row>
    <row r="107" spans="1:6" ht="11.25" customHeight="1" x14ac:dyDescent="0.2">
      <c r="A107"/>
      <c r="B107"/>
      <c r="C107"/>
      <c r="D107"/>
      <c r="E107"/>
      <c r="F107"/>
    </row>
    <row r="108" spans="1:6" ht="12.75" x14ac:dyDescent="0.2">
      <c r="A108"/>
      <c r="B108"/>
      <c r="C108"/>
      <c r="D108"/>
      <c r="E108"/>
      <c r="F108"/>
    </row>
    <row r="109" spans="1:6" ht="12.75" x14ac:dyDescent="0.2">
      <c r="A109"/>
      <c r="B109"/>
      <c r="C109"/>
      <c r="D109"/>
      <c r="E109"/>
      <c r="F109"/>
    </row>
    <row r="110" spans="1:6" ht="12.75" x14ac:dyDescent="0.2">
      <c r="A110"/>
      <c r="B110"/>
      <c r="C110"/>
      <c r="D110"/>
      <c r="E110"/>
      <c r="F110"/>
    </row>
    <row r="111" spans="1:6" ht="12.75" x14ac:dyDescent="0.2">
      <c r="A111"/>
      <c r="B111"/>
      <c r="C111"/>
      <c r="D111"/>
      <c r="E111"/>
      <c r="F111"/>
    </row>
    <row r="112" spans="1:6" ht="12.75" x14ac:dyDescent="0.2">
      <c r="A112"/>
      <c r="B112"/>
      <c r="C112"/>
      <c r="D112"/>
      <c r="E112"/>
      <c r="F112"/>
    </row>
    <row r="113" spans="1:6" ht="12.75" x14ac:dyDescent="0.2">
      <c r="A113"/>
      <c r="B113"/>
      <c r="C113"/>
      <c r="D113"/>
      <c r="E113"/>
      <c r="F113"/>
    </row>
    <row r="114" spans="1:6" ht="12.75" x14ac:dyDescent="0.2">
      <c r="A114"/>
      <c r="B114"/>
      <c r="C114"/>
      <c r="D114"/>
      <c r="E114"/>
      <c r="F114"/>
    </row>
    <row r="115" spans="1:6" ht="12.75" x14ac:dyDescent="0.2">
      <c r="A115"/>
      <c r="B115"/>
      <c r="C115"/>
      <c r="D115"/>
      <c r="E115"/>
      <c r="F115"/>
    </row>
    <row r="116" spans="1:6" ht="12.75" x14ac:dyDescent="0.2">
      <c r="A116"/>
      <c r="B116"/>
      <c r="C116"/>
      <c r="D116"/>
      <c r="E116"/>
      <c r="F116"/>
    </row>
    <row r="117" spans="1:6" ht="12.75" x14ac:dyDescent="0.2">
      <c r="A117"/>
      <c r="B117"/>
      <c r="C117"/>
      <c r="D117"/>
      <c r="E117"/>
      <c r="F117"/>
    </row>
    <row r="118" spans="1:6" ht="12.75" x14ac:dyDescent="0.2">
      <c r="A118"/>
      <c r="B118"/>
      <c r="C118"/>
      <c r="D118"/>
      <c r="E118"/>
      <c r="F118"/>
    </row>
  </sheetData>
  <sheetProtection insertRows="0" deleteRows="0"/>
  <mergeCells count="11">
    <mergeCell ref="B6:B8"/>
    <mergeCell ref="A6:A8"/>
    <mergeCell ref="C6:C8"/>
    <mergeCell ref="D6:D8"/>
    <mergeCell ref="E6:E8"/>
    <mergeCell ref="A23:A25"/>
    <mergeCell ref="B23:B25"/>
    <mergeCell ref="C23:C25"/>
    <mergeCell ref="D23:D25"/>
    <mergeCell ref="E23:E25"/>
    <mergeCell ref="G60:G62"/>
  </mergeCells>
  <conditionalFormatting sqref="G73">
    <cfRule type="cellIs" dxfId="36" priority="16" stopIfTrue="1" operator="equal">
      <formula>"Monto Total Validado"</formula>
    </cfRule>
    <cfRule type="cellIs" dxfId="35" priority="17" stopIfTrue="1" operator="equal">
      <formula>"Monto Total Validado"</formula>
    </cfRule>
    <cfRule type="cellIs" dxfId="34" priority="18" stopIfTrue="1" operator="equal">
      <formula>"Error. Existe Diferencia entre Total y Total Proyecto"</formula>
    </cfRule>
  </conditionalFormatting>
  <pageMargins left="0.75" right="0.75" top="1" bottom="1" header="0" footer="0"/>
  <pageSetup scale="88" fitToHeight="5" orientation="landscape"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A1:E20"/>
  <sheetViews>
    <sheetView topLeftCell="D1" zoomScaleNormal="100" workbookViewId="0">
      <selection activeCell="A10" sqref="A10"/>
    </sheetView>
  </sheetViews>
  <sheetFormatPr baseColWidth="10" defaultColWidth="11.42578125" defaultRowHeight="11.25" x14ac:dyDescent="0.2"/>
  <cols>
    <col min="1" max="1" width="38.42578125" style="3" customWidth="1"/>
    <col min="2" max="2" width="14.5703125" style="3" customWidth="1"/>
    <col min="3" max="16384" width="11.42578125" style="3"/>
  </cols>
  <sheetData>
    <row r="1" spans="1:5" x14ac:dyDescent="0.2">
      <c r="A1" s="50" t="s">
        <v>49</v>
      </c>
      <c r="C1" s="37"/>
      <c r="D1" s="37"/>
      <c r="E1" s="37"/>
    </row>
    <row r="2" spans="1:5" ht="12.75" x14ac:dyDescent="0.2">
      <c r="A2"/>
      <c r="B2"/>
      <c r="C2"/>
      <c r="D2"/>
      <c r="E2" s="37"/>
    </row>
    <row r="3" spans="1:5" x14ac:dyDescent="0.2">
      <c r="C3" s="51"/>
      <c r="D3" s="37"/>
      <c r="E3" s="37"/>
    </row>
    <row r="4" spans="1:5" x14ac:dyDescent="0.2">
      <c r="A4" s="80" t="s">
        <v>14</v>
      </c>
      <c r="B4" s="76" t="s">
        <v>6</v>
      </c>
      <c r="C4" s="52"/>
      <c r="D4" s="52"/>
      <c r="E4" s="13"/>
    </row>
    <row r="5" spans="1:5" ht="11.25" customHeight="1" x14ac:dyDescent="0.2">
      <c r="A5" s="95"/>
      <c r="B5" s="77"/>
      <c r="C5" s="52"/>
      <c r="D5" s="52"/>
      <c r="E5" s="13"/>
    </row>
    <row r="6" spans="1:5" x14ac:dyDescent="0.2">
      <c r="A6" s="96"/>
      <c r="B6" s="78"/>
      <c r="C6" s="52"/>
      <c r="D6" s="52"/>
      <c r="E6" s="13"/>
    </row>
    <row r="7" spans="1:5" x14ac:dyDescent="0.2">
      <c r="A7" s="43" t="s">
        <v>35</v>
      </c>
      <c r="B7" s="39">
        <f>'GASTOS OPERACION'!E19</f>
        <v>6720000</v>
      </c>
      <c r="C7" s="52"/>
      <c r="D7" s="52"/>
      <c r="E7" s="13"/>
    </row>
    <row r="8" spans="1:5" x14ac:dyDescent="0.2">
      <c r="A8" s="43" t="s">
        <v>42</v>
      </c>
      <c r="B8" s="39">
        <f>'GASTOS OPERACION'!E30</f>
        <v>25000</v>
      </c>
      <c r="C8" s="52"/>
      <c r="D8" s="52"/>
      <c r="E8" s="13"/>
    </row>
    <row r="9" spans="1:5" x14ac:dyDescent="0.2">
      <c r="A9" s="43" t="s">
        <v>44</v>
      </c>
      <c r="B9" s="39">
        <v>0</v>
      </c>
      <c r="C9" s="52"/>
      <c r="D9" s="52"/>
      <c r="E9" s="13"/>
    </row>
    <row r="10" spans="1:5" x14ac:dyDescent="0.2">
      <c r="A10" s="43" t="s">
        <v>45</v>
      </c>
      <c r="B10" s="39">
        <v>0</v>
      </c>
      <c r="C10" s="52"/>
      <c r="D10" s="52"/>
      <c r="E10" s="13"/>
    </row>
    <row r="11" spans="1:5" x14ac:dyDescent="0.2">
      <c r="A11" s="43" t="s">
        <v>50</v>
      </c>
      <c r="B11" s="39">
        <v>0</v>
      </c>
      <c r="C11" s="52"/>
      <c r="D11" s="52"/>
      <c r="E11" s="13"/>
    </row>
    <row r="12" spans="1:5" x14ac:dyDescent="0.2">
      <c r="A12" s="43" t="s">
        <v>46</v>
      </c>
      <c r="B12" s="39">
        <v>0</v>
      </c>
      <c r="C12" s="52"/>
      <c r="D12" s="52"/>
      <c r="E12" s="13"/>
    </row>
    <row r="13" spans="1:5" x14ac:dyDescent="0.2">
      <c r="A13" s="43" t="s">
        <v>47</v>
      </c>
      <c r="B13" s="39">
        <v>0</v>
      </c>
      <c r="C13" s="52"/>
      <c r="D13" s="52"/>
      <c r="E13" s="13"/>
    </row>
    <row r="14" spans="1:5" x14ac:dyDescent="0.2">
      <c r="A14" s="53" t="s">
        <v>51</v>
      </c>
      <c r="B14" s="39">
        <v>0</v>
      </c>
      <c r="C14" s="52"/>
      <c r="D14" s="52"/>
      <c r="E14" s="13"/>
    </row>
    <row r="15" spans="1:5" x14ac:dyDescent="0.2">
      <c r="A15" s="43" t="s">
        <v>52</v>
      </c>
      <c r="B15" s="39">
        <v>0</v>
      </c>
      <c r="C15" s="52"/>
      <c r="D15" s="52"/>
      <c r="E15" s="13"/>
    </row>
    <row r="16" spans="1:5" x14ac:dyDescent="0.2">
      <c r="A16" s="45" t="s">
        <v>10</v>
      </c>
      <c r="B16" s="54">
        <f>SUM(B7:B15)</f>
        <v>6745000</v>
      </c>
      <c r="C16" s="52"/>
      <c r="D16" s="52"/>
      <c r="E16" s="13"/>
    </row>
    <row r="17" spans="1:5" x14ac:dyDescent="0.2">
      <c r="B17" s="13"/>
      <c r="C17" s="52"/>
      <c r="D17" s="52"/>
      <c r="E17" s="13"/>
    </row>
    <row r="18" spans="1:5" x14ac:dyDescent="0.2">
      <c r="A18" s="55"/>
      <c r="B18" s="55"/>
      <c r="C18" s="52"/>
      <c r="D18" s="52"/>
      <c r="E18" s="13"/>
    </row>
    <row r="19" spans="1:5" x14ac:dyDescent="0.2">
      <c r="A19" s="1"/>
      <c r="B19" s="1"/>
      <c r="C19" s="38"/>
      <c r="D19" s="38"/>
      <c r="E19" s="38"/>
    </row>
    <row r="20" spans="1:5" x14ac:dyDescent="0.2">
      <c r="C20" s="13"/>
      <c r="D20" s="13"/>
      <c r="E20" s="16"/>
    </row>
  </sheetData>
  <mergeCells count="2">
    <mergeCell ref="A4:A6"/>
    <mergeCell ref="B4:B6"/>
  </mergeCells>
  <conditionalFormatting sqref="E20">
    <cfRule type="cellIs" dxfId="30" priority="7" stopIfTrue="1" operator="equal">
      <formula>"Monto Total Validado"</formula>
    </cfRule>
    <cfRule type="cellIs" dxfId="29" priority="8" stopIfTrue="1" operator="equal">
      <formula>"Monto Total Validado"</formula>
    </cfRule>
    <cfRule type="cellIs" dxfId="28" priority="9" stopIfTrue="1" operator="equal">
      <formula>"Error. Existe Diferencia entre Total y Total Proyecto"</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2">
    <tabColor rgb="FFFF0000"/>
    <pageSetUpPr fitToPage="1"/>
  </sheetPr>
  <dimension ref="A1:E44"/>
  <sheetViews>
    <sheetView showGridLines="0" topLeftCell="A2" zoomScaleNormal="100" workbookViewId="0">
      <selection activeCell="E9" sqref="E9"/>
    </sheetView>
  </sheetViews>
  <sheetFormatPr baseColWidth="10" defaultColWidth="11.42578125" defaultRowHeight="11.25" x14ac:dyDescent="0.2"/>
  <cols>
    <col min="1" max="1" width="37.85546875" style="13" customWidth="1"/>
    <col min="2" max="2" width="9.5703125" style="13" bestFit="1" customWidth="1"/>
    <col min="3" max="3" width="15.140625" style="13" customWidth="1"/>
    <col min="4" max="4" width="12.42578125" style="13" customWidth="1"/>
    <col min="5" max="5" width="27.140625" style="13" customWidth="1"/>
    <col min="6" max="6" width="21" style="13" bestFit="1" customWidth="1"/>
    <col min="7" max="16384" width="11.42578125" style="13"/>
  </cols>
  <sheetData>
    <row r="1" spans="1:5" ht="21.75" customHeight="1" x14ac:dyDescent="0.2">
      <c r="A1"/>
      <c r="B1"/>
    </row>
    <row r="2" spans="1:5" ht="12.75" x14ac:dyDescent="0.2">
      <c r="A2"/>
      <c r="B2"/>
    </row>
    <row r="3" spans="1:5" x14ac:dyDescent="0.2">
      <c r="A3" s="38" t="s">
        <v>53</v>
      </c>
    </row>
    <row r="4" spans="1:5" ht="11.25" customHeight="1" x14ac:dyDescent="0.2">
      <c r="A4" s="97" t="s">
        <v>48</v>
      </c>
      <c r="B4" s="100" t="s">
        <v>54</v>
      </c>
    </row>
    <row r="5" spans="1:5" x14ac:dyDescent="0.2">
      <c r="A5" s="98"/>
      <c r="B5" s="101"/>
    </row>
    <row r="6" spans="1:5" x14ac:dyDescent="0.2">
      <c r="A6" s="99"/>
      <c r="B6" s="102"/>
    </row>
    <row r="7" spans="1:5" ht="12.75" x14ac:dyDescent="0.2">
      <c r="A7" s="39" t="s">
        <v>83</v>
      </c>
      <c r="B7" s="40">
        <f>PERSONAL!F25</f>
        <v>9000960</v>
      </c>
      <c r="C7"/>
      <c r="D7"/>
      <c r="E7"/>
    </row>
    <row r="8" spans="1:5" ht="12.75" x14ac:dyDescent="0.2">
      <c r="A8" s="39" t="s">
        <v>12</v>
      </c>
      <c r="B8" s="40">
        <f>EQUIPAMIENTO!G25</f>
        <v>6663076</v>
      </c>
      <c r="C8"/>
      <c r="D8"/>
      <c r="E8"/>
    </row>
    <row r="9" spans="1:5" ht="12.75" x14ac:dyDescent="0.2">
      <c r="A9" s="39" t="s">
        <v>55</v>
      </c>
      <c r="B9" s="40">
        <f>'INFRAESTRUCTURA Y MOBILIARIO'!G13</f>
        <v>335000</v>
      </c>
      <c r="C9"/>
      <c r="D9"/>
      <c r="E9"/>
    </row>
    <row r="10" spans="1:5" ht="12.75" x14ac:dyDescent="0.2">
      <c r="A10" s="39" t="s">
        <v>56</v>
      </c>
      <c r="B10" s="40">
        <f>'RESUMEN GASTOS OPERACION'!B16</f>
        <v>6745000</v>
      </c>
      <c r="C10"/>
      <c r="D10"/>
      <c r="E10"/>
    </row>
    <row r="11" spans="1:5" ht="12.75" x14ac:dyDescent="0.2">
      <c r="A11" s="41" t="s">
        <v>57</v>
      </c>
      <c r="B11" s="42">
        <f>SUM(B7:B10)</f>
        <v>22744036</v>
      </c>
      <c r="C11"/>
      <c r="D11"/>
      <c r="E11"/>
    </row>
    <row r="12" spans="1:5" ht="12.75" x14ac:dyDescent="0.2">
      <c r="A12"/>
      <c r="B12"/>
      <c r="C12"/>
    </row>
    <row r="13" spans="1:5" ht="12.75" x14ac:dyDescent="0.2">
      <c r="A13"/>
      <c r="B13"/>
      <c r="C13"/>
    </row>
    <row r="14" spans="1:5" ht="12.75" x14ac:dyDescent="0.2">
      <c r="A14"/>
      <c r="B14"/>
      <c r="C14"/>
      <c r="D14"/>
      <c r="E14"/>
    </row>
    <row r="15" spans="1:5" ht="12.75" x14ac:dyDescent="0.2">
      <c r="A15"/>
      <c r="B15"/>
      <c r="C15"/>
      <c r="D15"/>
      <c r="E15"/>
    </row>
    <row r="16" spans="1:5" ht="12.75" x14ac:dyDescent="0.2">
      <c r="A16"/>
      <c r="B16"/>
      <c r="C16"/>
      <c r="D16"/>
      <c r="E16"/>
    </row>
    <row r="17" spans="1:5" ht="12.75" x14ac:dyDescent="0.2">
      <c r="A17"/>
      <c r="B17"/>
      <c r="C17"/>
      <c r="D17"/>
      <c r="E17"/>
    </row>
    <row r="18" spans="1:5" ht="12.75" x14ac:dyDescent="0.2">
      <c r="A18"/>
      <c r="B18"/>
      <c r="C18"/>
      <c r="D18"/>
      <c r="E18"/>
    </row>
    <row r="19" spans="1:5" ht="12.75" x14ac:dyDescent="0.2">
      <c r="A19"/>
      <c r="B19"/>
      <c r="C19"/>
      <c r="D19"/>
      <c r="E19"/>
    </row>
    <row r="20" spans="1:5" ht="12.75" x14ac:dyDescent="0.2">
      <c r="A20"/>
      <c r="B20"/>
      <c r="C20"/>
      <c r="D20"/>
      <c r="E20"/>
    </row>
    <row r="21" spans="1:5" ht="12.75" x14ac:dyDescent="0.2">
      <c r="A21"/>
      <c r="B21"/>
      <c r="C21"/>
      <c r="D21"/>
      <c r="E21"/>
    </row>
    <row r="22" spans="1:5" ht="12.75" x14ac:dyDescent="0.2">
      <c r="A22"/>
      <c r="B22"/>
      <c r="C22"/>
      <c r="D22"/>
      <c r="E22"/>
    </row>
    <row r="23" spans="1:5" ht="12.75" x14ac:dyDescent="0.2">
      <c r="A23"/>
      <c r="B23"/>
      <c r="C23"/>
      <c r="D23"/>
      <c r="E23"/>
    </row>
    <row r="24" spans="1:5" ht="12.75" x14ac:dyDescent="0.2">
      <c r="A24"/>
      <c r="B24"/>
      <c r="C24"/>
      <c r="D24"/>
      <c r="E24"/>
    </row>
    <row r="25" spans="1:5" ht="12.75" x14ac:dyDescent="0.2">
      <c r="A25"/>
      <c r="B25"/>
      <c r="C25"/>
      <c r="D25"/>
      <c r="E25"/>
    </row>
    <row r="26" spans="1:5" ht="12.75" x14ac:dyDescent="0.2">
      <c r="A26"/>
      <c r="B26"/>
      <c r="C26"/>
      <c r="D26"/>
      <c r="E26"/>
    </row>
    <row r="27" spans="1:5" ht="12.75" x14ac:dyDescent="0.2">
      <c r="A27"/>
      <c r="B27"/>
      <c r="C27"/>
      <c r="D27"/>
      <c r="E27"/>
    </row>
    <row r="28" spans="1:5" ht="12.75" x14ac:dyDescent="0.2">
      <c r="A28"/>
      <c r="B28"/>
      <c r="C28"/>
      <c r="D28"/>
      <c r="E28"/>
    </row>
    <row r="29" spans="1:5" ht="12.75" x14ac:dyDescent="0.2">
      <c r="A29"/>
      <c r="B29"/>
      <c r="C29"/>
      <c r="D29"/>
      <c r="E29"/>
    </row>
    <row r="30" spans="1:5" ht="12.75" x14ac:dyDescent="0.2">
      <c r="A30"/>
      <c r="B30"/>
      <c r="C30"/>
      <c r="D30"/>
      <c r="E30"/>
    </row>
    <row r="31" spans="1:5" ht="12.75" x14ac:dyDescent="0.2">
      <c r="A31"/>
      <c r="B31"/>
      <c r="C31"/>
      <c r="D31"/>
      <c r="E31"/>
    </row>
    <row r="32" spans="1:5" ht="12.75" x14ac:dyDescent="0.2">
      <c r="A32"/>
      <c r="B32"/>
      <c r="C32"/>
      <c r="D32"/>
      <c r="E32"/>
    </row>
    <row r="33" spans="1:5" ht="12.75" x14ac:dyDescent="0.2">
      <c r="A33"/>
      <c r="B33"/>
      <c r="C33"/>
      <c r="D33"/>
      <c r="E33"/>
    </row>
    <row r="34" spans="1:5" ht="12.75" x14ac:dyDescent="0.2">
      <c r="A34"/>
      <c r="B34"/>
      <c r="C34"/>
      <c r="D34"/>
      <c r="E34"/>
    </row>
    <row r="35" spans="1:5" ht="12.75" x14ac:dyDescent="0.2">
      <c r="A35"/>
      <c r="B35"/>
      <c r="C35"/>
      <c r="D35"/>
      <c r="E35"/>
    </row>
    <row r="36" spans="1:5" ht="12.75" x14ac:dyDescent="0.2">
      <c r="A36"/>
      <c r="B36"/>
      <c r="C36"/>
      <c r="D36"/>
      <c r="E36"/>
    </row>
    <row r="37" spans="1:5" ht="12.75" x14ac:dyDescent="0.2">
      <c r="A37"/>
      <c r="B37"/>
      <c r="C37"/>
      <c r="D37"/>
      <c r="E37"/>
    </row>
    <row r="38" spans="1:5" ht="12.75" x14ac:dyDescent="0.2">
      <c r="A38"/>
      <c r="B38"/>
      <c r="C38"/>
      <c r="D38"/>
      <c r="E38"/>
    </row>
    <row r="39" spans="1:5" ht="12.75" x14ac:dyDescent="0.2">
      <c r="A39"/>
      <c r="B39"/>
      <c r="C39"/>
      <c r="D39"/>
      <c r="E39"/>
    </row>
    <row r="40" spans="1:5" ht="12.75" x14ac:dyDescent="0.2">
      <c r="A40"/>
      <c r="B40"/>
      <c r="C40"/>
      <c r="D40"/>
      <c r="E40"/>
    </row>
    <row r="41" spans="1:5" ht="12.75" x14ac:dyDescent="0.2">
      <c r="A41"/>
      <c r="B41"/>
      <c r="C41"/>
      <c r="D41"/>
      <c r="E41"/>
    </row>
    <row r="42" spans="1:5" ht="12.75" x14ac:dyDescent="0.2">
      <c r="A42"/>
      <c r="B42"/>
      <c r="C42"/>
      <c r="D42"/>
      <c r="E42"/>
    </row>
    <row r="43" spans="1:5" ht="12.75" x14ac:dyDescent="0.2">
      <c r="A43"/>
      <c r="B43"/>
      <c r="C43"/>
      <c r="D43"/>
      <c r="E43"/>
    </row>
    <row r="44" spans="1:5" ht="12.75" x14ac:dyDescent="0.2">
      <c r="A44"/>
      <c r="B44"/>
      <c r="C44"/>
      <c r="D44"/>
      <c r="E44"/>
    </row>
  </sheetData>
  <sheetProtection selectLockedCells="1" selectUnlockedCells="1"/>
  <mergeCells count="2">
    <mergeCell ref="A4:A6"/>
    <mergeCell ref="B4:B6"/>
  </mergeCells>
  <phoneticPr fontId="0" type="noConversion"/>
  <pageMargins left="0.75" right="0.75" top="1" bottom="1" header="0" footer="0"/>
  <pageSetup scale="96" fitToHeight="3" orientation="landscape" r:id="rId1"/>
  <headerFooter alignWithMargins="0"/>
  <ignoredErrors>
    <ignoredError sqref="B11"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3"/>
  <sheetViews>
    <sheetView topLeftCell="A35" workbookViewId="0">
      <selection activeCell="D14" sqref="D14"/>
    </sheetView>
  </sheetViews>
  <sheetFormatPr baseColWidth="10" defaultColWidth="11.7109375" defaultRowHeight="11.25" x14ac:dyDescent="0.2"/>
  <cols>
    <col min="1" max="1" width="23" style="3" customWidth="1"/>
    <col min="2" max="2" width="15.7109375" style="3" bestFit="1" customWidth="1"/>
    <col min="3" max="3" width="18.7109375" style="3" bestFit="1" customWidth="1"/>
    <col min="4" max="4" width="101.42578125" style="3" customWidth="1"/>
    <col min="5" max="16384" width="11.7109375" style="3"/>
  </cols>
  <sheetData>
    <row r="1" spans="1:4" x14ac:dyDescent="0.2">
      <c r="A1" s="1" t="s">
        <v>58</v>
      </c>
    </row>
    <row r="2" spans="1:4" ht="12" thickBot="1" x14ac:dyDescent="0.25"/>
    <row r="3" spans="1:4" ht="12" thickBot="1" x14ac:dyDescent="0.25">
      <c r="A3" s="103" t="s">
        <v>59</v>
      </c>
      <c r="B3" s="104"/>
      <c r="C3" s="104"/>
      <c r="D3" s="105"/>
    </row>
    <row r="4" spans="1:4" x14ac:dyDescent="0.2">
      <c r="A4" s="18" t="s">
        <v>60</v>
      </c>
      <c r="D4" s="19"/>
    </row>
    <row r="5" spans="1:4" x14ac:dyDescent="0.2">
      <c r="A5" s="18" t="s">
        <v>61</v>
      </c>
      <c r="B5" s="1" t="s">
        <v>62</v>
      </c>
      <c r="D5" s="19"/>
    </row>
    <row r="6" spans="1:4" x14ac:dyDescent="0.2">
      <c r="A6" s="18" t="s">
        <v>63</v>
      </c>
      <c r="D6" s="19"/>
    </row>
    <row r="7" spans="1:4" ht="12" thickBot="1" x14ac:dyDescent="0.25">
      <c r="A7" s="20"/>
      <c r="D7" s="19"/>
    </row>
    <row r="8" spans="1:4" ht="23.25" thickBot="1" x14ac:dyDescent="0.25">
      <c r="A8" s="21" t="s">
        <v>48</v>
      </c>
      <c r="B8" s="21" t="s">
        <v>64</v>
      </c>
      <c r="C8" s="21" t="s">
        <v>65</v>
      </c>
      <c r="D8" s="21" t="s">
        <v>66</v>
      </c>
    </row>
    <row r="9" spans="1:4" x14ac:dyDescent="0.2">
      <c r="A9" s="22" t="s">
        <v>67</v>
      </c>
      <c r="B9" s="23">
        <v>0</v>
      </c>
      <c r="C9" s="24">
        <v>0</v>
      </c>
      <c r="D9" s="25"/>
    </row>
    <row r="10" spans="1:4" x14ac:dyDescent="0.2">
      <c r="A10" s="26" t="s">
        <v>11</v>
      </c>
      <c r="B10" s="27">
        <v>0</v>
      </c>
      <c r="C10" s="28">
        <v>0</v>
      </c>
      <c r="D10" s="29"/>
    </row>
    <row r="11" spans="1:4" x14ac:dyDescent="0.2">
      <c r="A11" s="26" t="s">
        <v>26</v>
      </c>
      <c r="B11" s="27">
        <v>0</v>
      </c>
      <c r="C11" s="28">
        <v>0</v>
      </c>
      <c r="D11" s="29"/>
    </row>
    <row r="12" spans="1:4" x14ac:dyDescent="0.2">
      <c r="A12" s="26" t="s">
        <v>56</v>
      </c>
      <c r="B12" s="27">
        <v>0</v>
      </c>
      <c r="C12" s="28">
        <v>0</v>
      </c>
      <c r="D12" s="29"/>
    </row>
    <row r="13" spans="1:4" ht="12" thickBot="1" x14ac:dyDescent="0.25">
      <c r="A13" s="26" t="s">
        <v>68</v>
      </c>
      <c r="B13" s="30">
        <v>0</v>
      </c>
      <c r="C13" s="31">
        <v>0</v>
      </c>
      <c r="D13" s="29"/>
    </row>
    <row r="14" spans="1:4" ht="12" thickBot="1" x14ac:dyDescent="0.25">
      <c r="A14" s="32" t="s">
        <v>69</v>
      </c>
      <c r="B14" s="33">
        <f>SUM(B9:B13)</f>
        <v>0</v>
      </c>
      <c r="C14" s="34">
        <f>SUM(C9:C13)</f>
        <v>0</v>
      </c>
      <c r="D14" s="35" t="str">
        <f>IF(B14=C14,"PRESUPUESTO VALIDADO","CORREGIR DIFERENCIA")</f>
        <v>PRESUPUESTO VALIDADO</v>
      </c>
    </row>
    <row r="15" spans="1:4" ht="12" thickBot="1" x14ac:dyDescent="0.25"/>
    <row r="16" spans="1:4" ht="12" thickBot="1" x14ac:dyDescent="0.25">
      <c r="A16" s="103" t="s">
        <v>70</v>
      </c>
      <c r="B16" s="104"/>
      <c r="C16" s="104"/>
      <c r="D16" s="105"/>
    </row>
    <row r="17" spans="1:4" x14ac:dyDescent="0.2">
      <c r="A17" s="18" t="s">
        <v>60</v>
      </c>
      <c r="D17" s="19"/>
    </row>
    <row r="18" spans="1:4" x14ac:dyDescent="0.2">
      <c r="A18" s="18" t="s">
        <v>61</v>
      </c>
      <c r="B18" s="1" t="s">
        <v>62</v>
      </c>
      <c r="D18" s="19"/>
    </row>
    <row r="19" spans="1:4" x14ac:dyDescent="0.2">
      <c r="A19" s="18" t="s">
        <v>63</v>
      </c>
      <c r="D19" s="19"/>
    </row>
    <row r="20" spans="1:4" ht="12" thickBot="1" x14ac:dyDescent="0.25">
      <c r="A20" s="20"/>
      <c r="D20" s="19"/>
    </row>
    <row r="21" spans="1:4" ht="23.25" thickBot="1" x14ac:dyDescent="0.25">
      <c r="A21" s="21" t="s">
        <v>48</v>
      </c>
      <c r="B21" s="21" t="s">
        <v>64</v>
      </c>
      <c r="C21" s="21" t="s">
        <v>65</v>
      </c>
      <c r="D21" s="21" t="s">
        <v>66</v>
      </c>
    </row>
    <row r="22" spans="1:4" x14ac:dyDescent="0.2">
      <c r="A22" s="22" t="s">
        <v>67</v>
      </c>
      <c r="B22" s="23">
        <v>0</v>
      </c>
      <c r="C22" s="24">
        <v>0</v>
      </c>
      <c r="D22" s="25"/>
    </row>
    <row r="23" spans="1:4" x14ac:dyDescent="0.2">
      <c r="A23" s="26" t="s">
        <v>11</v>
      </c>
      <c r="B23" s="27">
        <v>0</v>
      </c>
      <c r="C23" s="28">
        <v>0</v>
      </c>
      <c r="D23" s="29"/>
    </row>
    <row r="24" spans="1:4" x14ac:dyDescent="0.2">
      <c r="A24" s="26" t="s">
        <v>26</v>
      </c>
      <c r="B24" s="27">
        <v>0</v>
      </c>
      <c r="C24" s="28">
        <v>0</v>
      </c>
      <c r="D24" s="29"/>
    </row>
    <row r="25" spans="1:4" x14ac:dyDescent="0.2">
      <c r="A25" s="26" t="s">
        <v>56</v>
      </c>
      <c r="B25" s="27">
        <v>0</v>
      </c>
      <c r="C25" s="28">
        <v>0</v>
      </c>
      <c r="D25" s="29"/>
    </row>
    <row r="26" spans="1:4" ht="12" thickBot="1" x14ac:dyDescent="0.25">
      <c r="A26" s="26" t="s">
        <v>68</v>
      </c>
      <c r="B26" s="30">
        <v>0</v>
      </c>
      <c r="C26" s="31">
        <v>0</v>
      </c>
      <c r="D26" s="29"/>
    </row>
    <row r="27" spans="1:4" ht="12" thickBot="1" x14ac:dyDescent="0.25">
      <c r="A27" s="32" t="s">
        <v>69</v>
      </c>
      <c r="B27" s="33">
        <f>SUM(B22:B26)</f>
        <v>0</v>
      </c>
      <c r="C27" s="34">
        <f>SUM(C22:C26)</f>
        <v>0</v>
      </c>
      <c r="D27" s="35" t="str">
        <f>IF(B27=C27,"PRESUPUESTO VALIDADO","CORREGIR DIFERENCIA")</f>
        <v>PRESUPUESTO VALIDADO</v>
      </c>
    </row>
    <row r="28" spans="1:4" ht="12" thickBot="1" x14ac:dyDescent="0.25"/>
    <row r="29" spans="1:4" ht="12" thickBot="1" x14ac:dyDescent="0.25">
      <c r="A29" s="103" t="s">
        <v>71</v>
      </c>
      <c r="B29" s="104"/>
      <c r="C29" s="104"/>
      <c r="D29" s="105"/>
    </row>
    <row r="30" spans="1:4" x14ac:dyDescent="0.2">
      <c r="A30" s="18" t="s">
        <v>60</v>
      </c>
      <c r="D30" s="19"/>
    </row>
    <row r="31" spans="1:4" x14ac:dyDescent="0.2">
      <c r="A31" s="18" t="s">
        <v>61</v>
      </c>
      <c r="B31" s="1" t="s">
        <v>62</v>
      </c>
      <c r="D31" s="19"/>
    </row>
    <row r="32" spans="1:4" x14ac:dyDescent="0.2">
      <c r="A32" s="18" t="s">
        <v>63</v>
      </c>
      <c r="D32" s="19"/>
    </row>
    <row r="33" spans="1:4" ht="12" thickBot="1" x14ac:dyDescent="0.25">
      <c r="A33" s="20"/>
      <c r="D33" s="19"/>
    </row>
    <row r="34" spans="1:4" ht="23.25" thickBot="1" x14ac:dyDescent="0.25">
      <c r="A34" s="21" t="s">
        <v>48</v>
      </c>
      <c r="B34" s="21" t="s">
        <v>64</v>
      </c>
      <c r="C34" s="21" t="s">
        <v>65</v>
      </c>
      <c r="D34" s="21" t="s">
        <v>66</v>
      </c>
    </row>
    <row r="35" spans="1:4" x14ac:dyDescent="0.2">
      <c r="A35" s="22" t="s">
        <v>67</v>
      </c>
      <c r="B35" s="23">
        <v>0</v>
      </c>
      <c r="C35" s="24">
        <v>0</v>
      </c>
      <c r="D35" s="25"/>
    </row>
    <row r="36" spans="1:4" x14ac:dyDescent="0.2">
      <c r="A36" s="26" t="s">
        <v>11</v>
      </c>
      <c r="B36" s="27">
        <v>0</v>
      </c>
      <c r="C36" s="28">
        <v>0</v>
      </c>
      <c r="D36" s="29"/>
    </row>
    <row r="37" spans="1:4" x14ac:dyDescent="0.2">
      <c r="A37" s="26" t="s">
        <v>26</v>
      </c>
      <c r="B37" s="27">
        <v>0</v>
      </c>
      <c r="C37" s="28">
        <v>0</v>
      </c>
      <c r="D37" s="29"/>
    </row>
    <row r="38" spans="1:4" x14ac:dyDescent="0.2">
      <c r="A38" s="26" t="s">
        <v>56</v>
      </c>
      <c r="B38" s="27">
        <v>0</v>
      </c>
      <c r="C38" s="28">
        <v>0</v>
      </c>
      <c r="D38" s="29"/>
    </row>
    <row r="39" spans="1:4" ht="12" thickBot="1" x14ac:dyDescent="0.25">
      <c r="A39" s="26" t="s">
        <v>68</v>
      </c>
      <c r="B39" s="30">
        <v>0</v>
      </c>
      <c r="C39" s="31">
        <v>0</v>
      </c>
      <c r="D39" s="29"/>
    </row>
    <row r="40" spans="1:4" ht="12" thickBot="1" x14ac:dyDescent="0.25">
      <c r="A40" s="32" t="s">
        <v>69</v>
      </c>
      <c r="B40" s="33">
        <f>SUM(B35:B39)</f>
        <v>0</v>
      </c>
      <c r="C40" s="34">
        <f>SUM(C35:C39)</f>
        <v>0</v>
      </c>
      <c r="D40" s="35" t="str">
        <f>IF(B40=C40,"PRESUPUESTO VALIDADO","CORREGIR DIFERENCIA")</f>
        <v>PRESUPUESTO VALIDADO</v>
      </c>
    </row>
    <row r="41" spans="1:4" ht="12" thickBot="1" x14ac:dyDescent="0.25">
      <c r="A41" s="2"/>
      <c r="B41" s="36"/>
      <c r="C41" s="36"/>
      <c r="D41" s="37"/>
    </row>
    <row r="42" spans="1:4" ht="12" thickBot="1" x14ac:dyDescent="0.25">
      <c r="A42" s="103" t="s">
        <v>72</v>
      </c>
      <c r="B42" s="104"/>
      <c r="C42" s="104"/>
      <c r="D42" s="105"/>
    </row>
    <row r="43" spans="1:4" x14ac:dyDescent="0.2">
      <c r="A43" s="18" t="s">
        <v>60</v>
      </c>
      <c r="D43" s="19"/>
    </row>
    <row r="44" spans="1:4" x14ac:dyDescent="0.2">
      <c r="A44" s="18" t="s">
        <v>61</v>
      </c>
      <c r="B44" s="1" t="s">
        <v>62</v>
      </c>
      <c r="D44" s="19"/>
    </row>
    <row r="45" spans="1:4" x14ac:dyDescent="0.2">
      <c r="A45" s="18" t="s">
        <v>63</v>
      </c>
      <c r="D45" s="19"/>
    </row>
    <row r="46" spans="1:4" ht="12" thickBot="1" x14ac:dyDescent="0.25">
      <c r="A46" s="20"/>
      <c r="D46" s="19"/>
    </row>
    <row r="47" spans="1:4" ht="12" thickBot="1" x14ac:dyDescent="0.25">
      <c r="A47" s="21" t="s">
        <v>48</v>
      </c>
      <c r="B47" s="21" t="s">
        <v>64</v>
      </c>
      <c r="C47" s="21" t="s">
        <v>73</v>
      </c>
      <c r="D47" s="21" t="s">
        <v>66</v>
      </c>
    </row>
    <row r="48" spans="1:4" x14ac:dyDescent="0.2">
      <c r="A48" s="22" t="s">
        <v>67</v>
      </c>
      <c r="B48" s="23">
        <v>0</v>
      </c>
      <c r="C48" s="24">
        <v>0</v>
      </c>
      <c r="D48" s="25"/>
    </row>
    <row r="49" spans="1:4" x14ac:dyDescent="0.2">
      <c r="A49" s="26" t="s">
        <v>11</v>
      </c>
      <c r="B49" s="27">
        <v>0</v>
      </c>
      <c r="C49" s="28">
        <v>0</v>
      </c>
      <c r="D49" s="29"/>
    </row>
    <row r="50" spans="1:4" x14ac:dyDescent="0.2">
      <c r="A50" s="26" t="s">
        <v>26</v>
      </c>
      <c r="B50" s="27">
        <v>0</v>
      </c>
      <c r="C50" s="28">
        <v>0</v>
      </c>
      <c r="D50" s="29"/>
    </row>
    <row r="51" spans="1:4" x14ac:dyDescent="0.2">
      <c r="A51" s="26" t="s">
        <v>56</v>
      </c>
      <c r="B51" s="27">
        <v>0</v>
      </c>
      <c r="C51" s="28">
        <v>0</v>
      </c>
      <c r="D51" s="29"/>
    </row>
    <row r="52" spans="1:4" ht="12" thickBot="1" x14ac:dyDescent="0.25">
      <c r="A52" s="26" t="s">
        <v>68</v>
      </c>
      <c r="B52" s="30">
        <v>0</v>
      </c>
      <c r="C52" s="31">
        <v>0</v>
      </c>
      <c r="D52" s="29"/>
    </row>
    <row r="53" spans="1:4" ht="12" thickBot="1" x14ac:dyDescent="0.25">
      <c r="A53" s="32" t="s">
        <v>69</v>
      </c>
      <c r="B53" s="33">
        <f>SUM(B48:B52)</f>
        <v>0</v>
      </c>
      <c r="C53" s="34">
        <f>SUM(C48:C52)</f>
        <v>0</v>
      </c>
      <c r="D53" s="35" t="str">
        <f>IF(B53=C53,"PRESUPUESTO VALIDADO","CORREGIR DIFERENCIA")</f>
        <v>PRESUPUESTO VALIDADO</v>
      </c>
    </row>
  </sheetData>
  <mergeCells count="4">
    <mergeCell ref="A3:D3"/>
    <mergeCell ref="A16:D16"/>
    <mergeCell ref="A29:D29"/>
    <mergeCell ref="A42:D42"/>
  </mergeCells>
  <conditionalFormatting sqref="D14">
    <cfRule type="cellIs" dxfId="15" priority="7" stopIfTrue="1" operator="equal">
      <formula>"CORREGIR DIFERENCIA"</formula>
    </cfRule>
    <cfRule type="cellIs" dxfId="14" priority="8" stopIfTrue="1" operator="equal">
      <formula>"PRESUPUESTO VALIDADO"</formula>
    </cfRule>
  </conditionalFormatting>
  <conditionalFormatting sqref="D27">
    <cfRule type="cellIs" dxfId="13" priority="5" stopIfTrue="1" operator="equal">
      <formula>"CORREGIR DIFERENCIA"</formula>
    </cfRule>
    <cfRule type="cellIs" dxfId="12" priority="6" stopIfTrue="1" operator="equal">
      <formula>"PRESUPUESTO VALIDADO"</formula>
    </cfRule>
  </conditionalFormatting>
  <conditionalFormatting sqref="D40:D41">
    <cfRule type="cellIs" dxfId="11" priority="3" stopIfTrue="1" operator="equal">
      <formula>"CORREGIR DIFERENCIA"</formula>
    </cfRule>
    <cfRule type="cellIs" dxfId="10" priority="4" stopIfTrue="1" operator="equal">
      <formula>"PRESUPUESTO VALIDADO"</formula>
    </cfRule>
  </conditionalFormatting>
  <conditionalFormatting sqref="D53">
    <cfRule type="cellIs" dxfId="9" priority="1" stopIfTrue="1" operator="equal">
      <formula>"CORREGIR DIFERENCIA"</formula>
    </cfRule>
    <cfRule type="cellIs" dxfId="8" priority="2" stopIfTrue="1" operator="equal">
      <formula>"PRESUPUESTO VALIDADO"</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53"/>
  <sheetViews>
    <sheetView workbookViewId="0">
      <selection activeCell="D22" sqref="D22"/>
    </sheetView>
  </sheetViews>
  <sheetFormatPr baseColWidth="10" defaultColWidth="11.7109375" defaultRowHeight="11.25" x14ac:dyDescent="0.2"/>
  <cols>
    <col min="1" max="1" width="23.5703125" style="3" customWidth="1"/>
    <col min="2" max="2" width="15.7109375" style="3" bestFit="1" customWidth="1"/>
    <col min="3" max="3" width="18.7109375" style="3" bestFit="1" customWidth="1"/>
    <col min="4" max="4" width="101.42578125" style="3" customWidth="1"/>
    <col min="5" max="16384" width="11.7109375" style="3"/>
  </cols>
  <sheetData>
    <row r="1" spans="1:4" x14ac:dyDescent="0.2">
      <c r="A1" s="1" t="s">
        <v>74</v>
      </c>
    </row>
    <row r="2" spans="1:4" ht="12" thickBot="1" x14ac:dyDescent="0.25"/>
    <row r="3" spans="1:4" ht="12" thickBot="1" x14ac:dyDescent="0.25">
      <c r="A3" s="103" t="s">
        <v>59</v>
      </c>
      <c r="B3" s="104"/>
      <c r="C3" s="104"/>
      <c r="D3" s="105"/>
    </row>
    <row r="4" spans="1:4" x14ac:dyDescent="0.2">
      <c r="A4" s="18" t="s">
        <v>60</v>
      </c>
      <c r="D4" s="19"/>
    </row>
    <row r="5" spans="1:4" x14ac:dyDescent="0.2">
      <c r="A5" s="18" t="s">
        <v>61</v>
      </c>
      <c r="D5" s="19"/>
    </row>
    <row r="6" spans="1:4" x14ac:dyDescent="0.2">
      <c r="A6" s="18" t="s">
        <v>63</v>
      </c>
      <c r="D6" s="19"/>
    </row>
    <row r="7" spans="1:4" ht="12" thickBot="1" x14ac:dyDescent="0.25">
      <c r="A7" s="20"/>
      <c r="D7" s="19"/>
    </row>
    <row r="8" spans="1:4" ht="23.25" thickBot="1" x14ac:dyDescent="0.25">
      <c r="A8" s="21" t="s">
        <v>48</v>
      </c>
      <c r="B8" s="21" t="s">
        <v>64</v>
      </c>
      <c r="C8" s="21" t="s">
        <v>65</v>
      </c>
      <c r="D8" s="21" t="s">
        <v>66</v>
      </c>
    </row>
    <row r="9" spans="1:4" x14ac:dyDescent="0.2">
      <c r="A9" s="22" t="s">
        <v>67</v>
      </c>
      <c r="B9" s="23">
        <v>0</v>
      </c>
      <c r="C9" s="24">
        <v>0</v>
      </c>
      <c r="D9" s="25"/>
    </row>
    <row r="10" spans="1:4" x14ac:dyDescent="0.2">
      <c r="A10" s="26" t="s">
        <v>11</v>
      </c>
      <c r="B10" s="27">
        <v>0</v>
      </c>
      <c r="C10" s="28">
        <v>0</v>
      </c>
      <c r="D10" s="29"/>
    </row>
    <row r="11" spans="1:4" x14ac:dyDescent="0.2">
      <c r="A11" s="26" t="s">
        <v>26</v>
      </c>
      <c r="B11" s="27">
        <v>0</v>
      </c>
      <c r="C11" s="28">
        <v>0</v>
      </c>
      <c r="D11" s="29"/>
    </row>
    <row r="12" spans="1:4" x14ac:dyDescent="0.2">
      <c r="A12" s="26" t="s">
        <v>56</v>
      </c>
      <c r="B12" s="27">
        <v>0</v>
      </c>
      <c r="C12" s="28">
        <v>0</v>
      </c>
      <c r="D12" s="29"/>
    </row>
    <row r="13" spans="1:4" ht="12" thickBot="1" x14ac:dyDescent="0.25">
      <c r="A13" s="26" t="s">
        <v>68</v>
      </c>
      <c r="B13" s="30">
        <v>0</v>
      </c>
      <c r="C13" s="31">
        <v>0</v>
      </c>
      <c r="D13" s="29"/>
    </row>
    <row r="14" spans="1:4" ht="12" thickBot="1" x14ac:dyDescent="0.25">
      <c r="A14" s="32" t="s">
        <v>69</v>
      </c>
      <c r="B14" s="33">
        <f>SUM(B9:B13)</f>
        <v>0</v>
      </c>
      <c r="C14" s="34">
        <f>SUM(C9:C13)</f>
        <v>0</v>
      </c>
      <c r="D14" s="35" t="str">
        <f>IF(B14=C14,"PRESUPUESTO VALIDADO","CORREGIR DIFERENCIA")</f>
        <v>PRESUPUESTO VALIDADO</v>
      </c>
    </row>
    <row r="15" spans="1:4" ht="12" thickBot="1" x14ac:dyDescent="0.25"/>
    <row r="16" spans="1:4" ht="12" thickBot="1" x14ac:dyDescent="0.25">
      <c r="A16" s="103" t="s">
        <v>70</v>
      </c>
      <c r="B16" s="104"/>
      <c r="C16" s="104"/>
      <c r="D16" s="105"/>
    </row>
    <row r="17" spans="1:4" x14ac:dyDescent="0.2">
      <c r="A17" s="18" t="s">
        <v>60</v>
      </c>
      <c r="D17" s="19"/>
    </row>
    <row r="18" spans="1:4" x14ac:dyDescent="0.2">
      <c r="A18" s="18" t="s">
        <v>61</v>
      </c>
      <c r="D18" s="19"/>
    </row>
    <row r="19" spans="1:4" x14ac:dyDescent="0.2">
      <c r="A19" s="18" t="s">
        <v>63</v>
      </c>
      <c r="D19" s="19"/>
    </row>
    <row r="20" spans="1:4" ht="12" thickBot="1" x14ac:dyDescent="0.25">
      <c r="A20" s="20"/>
      <c r="D20" s="19"/>
    </row>
    <row r="21" spans="1:4" ht="23.25" thickBot="1" x14ac:dyDescent="0.25">
      <c r="A21" s="21" t="s">
        <v>48</v>
      </c>
      <c r="B21" s="21" t="s">
        <v>64</v>
      </c>
      <c r="C21" s="21" t="s">
        <v>65</v>
      </c>
      <c r="D21" s="21" t="s">
        <v>66</v>
      </c>
    </row>
    <row r="22" spans="1:4" x14ac:dyDescent="0.2">
      <c r="A22" s="22" t="s">
        <v>67</v>
      </c>
      <c r="B22" s="23">
        <v>0</v>
      </c>
      <c r="C22" s="24">
        <v>0</v>
      </c>
      <c r="D22" s="25"/>
    </row>
    <row r="23" spans="1:4" x14ac:dyDescent="0.2">
      <c r="A23" s="26" t="s">
        <v>11</v>
      </c>
      <c r="B23" s="27">
        <v>0</v>
      </c>
      <c r="C23" s="28">
        <v>0</v>
      </c>
      <c r="D23" s="29"/>
    </row>
    <row r="24" spans="1:4" x14ac:dyDescent="0.2">
      <c r="A24" s="26" t="s">
        <v>26</v>
      </c>
      <c r="B24" s="27">
        <v>0</v>
      </c>
      <c r="C24" s="28">
        <v>0</v>
      </c>
      <c r="D24" s="29"/>
    </row>
    <row r="25" spans="1:4" x14ac:dyDescent="0.2">
      <c r="A25" s="26" t="s">
        <v>56</v>
      </c>
      <c r="B25" s="27">
        <v>0</v>
      </c>
      <c r="C25" s="28">
        <v>0</v>
      </c>
      <c r="D25" s="29"/>
    </row>
    <row r="26" spans="1:4" ht="12" thickBot="1" x14ac:dyDescent="0.25">
      <c r="A26" s="26" t="s">
        <v>68</v>
      </c>
      <c r="B26" s="30">
        <v>0</v>
      </c>
      <c r="C26" s="31">
        <v>0</v>
      </c>
      <c r="D26" s="29"/>
    </row>
    <row r="27" spans="1:4" ht="12" thickBot="1" x14ac:dyDescent="0.25">
      <c r="A27" s="32" t="s">
        <v>69</v>
      </c>
      <c r="B27" s="33">
        <f>SUM(B22:B26)</f>
        <v>0</v>
      </c>
      <c r="C27" s="34">
        <f>SUM(C22:C26)</f>
        <v>0</v>
      </c>
      <c r="D27" s="35" t="str">
        <f>IF(B27=C27,"PRESUPUESTO VALIDADO","CORREGIR DIFERENCIA")</f>
        <v>PRESUPUESTO VALIDADO</v>
      </c>
    </row>
    <row r="28" spans="1:4" ht="12" thickBot="1" x14ac:dyDescent="0.25"/>
    <row r="29" spans="1:4" ht="12" thickBot="1" x14ac:dyDescent="0.25">
      <c r="A29" s="103" t="s">
        <v>71</v>
      </c>
      <c r="B29" s="104"/>
      <c r="C29" s="104"/>
      <c r="D29" s="105"/>
    </row>
    <row r="30" spans="1:4" x14ac:dyDescent="0.2">
      <c r="A30" s="18" t="s">
        <v>60</v>
      </c>
      <c r="D30" s="19"/>
    </row>
    <row r="31" spans="1:4" x14ac:dyDescent="0.2">
      <c r="A31" s="18" t="s">
        <v>61</v>
      </c>
      <c r="D31" s="19"/>
    </row>
    <row r="32" spans="1:4" x14ac:dyDescent="0.2">
      <c r="A32" s="18" t="s">
        <v>63</v>
      </c>
      <c r="D32" s="19"/>
    </row>
    <row r="33" spans="1:4" ht="12" thickBot="1" x14ac:dyDescent="0.25">
      <c r="A33" s="20"/>
      <c r="D33" s="19"/>
    </row>
    <row r="34" spans="1:4" ht="23.25" thickBot="1" x14ac:dyDescent="0.25">
      <c r="A34" s="21" t="s">
        <v>48</v>
      </c>
      <c r="B34" s="21" t="s">
        <v>64</v>
      </c>
      <c r="C34" s="21" t="s">
        <v>65</v>
      </c>
      <c r="D34" s="21" t="s">
        <v>66</v>
      </c>
    </row>
    <row r="35" spans="1:4" x14ac:dyDescent="0.2">
      <c r="A35" s="22" t="s">
        <v>67</v>
      </c>
      <c r="B35" s="23">
        <v>0</v>
      </c>
      <c r="C35" s="24">
        <v>0</v>
      </c>
      <c r="D35" s="25"/>
    </row>
    <row r="36" spans="1:4" x14ac:dyDescent="0.2">
      <c r="A36" s="26" t="s">
        <v>11</v>
      </c>
      <c r="B36" s="27">
        <v>0</v>
      </c>
      <c r="C36" s="28">
        <v>0</v>
      </c>
      <c r="D36" s="29"/>
    </row>
    <row r="37" spans="1:4" x14ac:dyDescent="0.2">
      <c r="A37" s="26" t="s">
        <v>26</v>
      </c>
      <c r="B37" s="27">
        <v>0</v>
      </c>
      <c r="C37" s="28">
        <v>0</v>
      </c>
      <c r="D37" s="29"/>
    </row>
    <row r="38" spans="1:4" x14ac:dyDescent="0.2">
      <c r="A38" s="26" t="s">
        <v>56</v>
      </c>
      <c r="B38" s="27">
        <v>0</v>
      </c>
      <c r="C38" s="28">
        <v>0</v>
      </c>
      <c r="D38" s="29"/>
    </row>
    <row r="39" spans="1:4" ht="12" thickBot="1" x14ac:dyDescent="0.25">
      <c r="A39" s="26" t="s">
        <v>68</v>
      </c>
      <c r="B39" s="30">
        <v>0</v>
      </c>
      <c r="C39" s="31">
        <v>0</v>
      </c>
      <c r="D39" s="29"/>
    </row>
    <row r="40" spans="1:4" ht="12" thickBot="1" x14ac:dyDescent="0.25">
      <c r="A40" s="32" t="s">
        <v>69</v>
      </c>
      <c r="B40" s="33">
        <f>SUM(B35:B39)</f>
        <v>0</v>
      </c>
      <c r="C40" s="34">
        <f>SUM(C35:C39)</f>
        <v>0</v>
      </c>
      <c r="D40" s="35" t="str">
        <f>IF(B40=C40,"PRESUPUESTO VALIDADO","CORREGIR DIFERENCIA")</f>
        <v>PRESUPUESTO VALIDADO</v>
      </c>
    </row>
    <row r="41" spans="1:4" ht="12" thickBot="1" x14ac:dyDescent="0.25">
      <c r="A41" s="2"/>
      <c r="B41" s="36"/>
      <c r="C41" s="36"/>
      <c r="D41" s="37"/>
    </row>
    <row r="42" spans="1:4" ht="12" thickBot="1" x14ac:dyDescent="0.25">
      <c r="A42" s="103" t="s">
        <v>72</v>
      </c>
      <c r="B42" s="104"/>
      <c r="C42" s="104"/>
      <c r="D42" s="105"/>
    </row>
    <row r="43" spans="1:4" x14ac:dyDescent="0.2">
      <c r="A43" s="18" t="s">
        <v>60</v>
      </c>
      <c r="D43" s="19"/>
    </row>
    <row r="44" spans="1:4" x14ac:dyDescent="0.2">
      <c r="A44" s="18" t="s">
        <v>61</v>
      </c>
      <c r="D44" s="19"/>
    </row>
    <row r="45" spans="1:4" x14ac:dyDescent="0.2">
      <c r="A45" s="18" t="s">
        <v>63</v>
      </c>
      <c r="D45" s="19"/>
    </row>
    <row r="46" spans="1:4" ht="12" thickBot="1" x14ac:dyDescent="0.25">
      <c r="A46" s="20"/>
      <c r="D46" s="19"/>
    </row>
    <row r="47" spans="1:4" ht="12" thickBot="1" x14ac:dyDescent="0.25">
      <c r="A47" s="21" t="s">
        <v>48</v>
      </c>
      <c r="B47" s="21" t="s">
        <v>64</v>
      </c>
      <c r="C47" s="21" t="s">
        <v>73</v>
      </c>
      <c r="D47" s="21" t="s">
        <v>66</v>
      </c>
    </row>
    <row r="48" spans="1:4" x14ac:dyDescent="0.2">
      <c r="A48" s="22" t="s">
        <v>67</v>
      </c>
      <c r="B48" s="23">
        <v>0</v>
      </c>
      <c r="C48" s="24">
        <v>0</v>
      </c>
      <c r="D48" s="25"/>
    </row>
    <row r="49" spans="1:4" x14ac:dyDescent="0.2">
      <c r="A49" s="26" t="s">
        <v>11</v>
      </c>
      <c r="B49" s="27">
        <v>0</v>
      </c>
      <c r="C49" s="28">
        <v>0</v>
      </c>
      <c r="D49" s="29"/>
    </row>
    <row r="50" spans="1:4" x14ac:dyDescent="0.2">
      <c r="A50" s="26" t="s">
        <v>26</v>
      </c>
      <c r="B50" s="27">
        <v>0</v>
      </c>
      <c r="C50" s="28">
        <v>0</v>
      </c>
      <c r="D50" s="29"/>
    </row>
    <row r="51" spans="1:4" x14ac:dyDescent="0.2">
      <c r="A51" s="26" t="s">
        <v>56</v>
      </c>
      <c r="B51" s="27">
        <v>0</v>
      </c>
      <c r="C51" s="28">
        <v>0</v>
      </c>
      <c r="D51" s="29"/>
    </row>
    <row r="52" spans="1:4" ht="12" thickBot="1" x14ac:dyDescent="0.25">
      <c r="A52" s="26" t="s">
        <v>68</v>
      </c>
      <c r="B52" s="30">
        <v>0</v>
      </c>
      <c r="C52" s="31">
        <v>0</v>
      </c>
      <c r="D52" s="29"/>
    </row>
    <row r="53" spans="1:4" ht="12" thickBot="1" x14ac:dyDescent="0.25">
      <c r="A53" s="32" t="s">
        <v>69</v>
      </c>
      <c r="B53" s="33">
        <f>SUM(B48:B52)</f>
        <v>0</v>
      </c>
      <c r="C53" s="34">
        <f>SUM(C48:C52)</f>
        <v>0</v>
      </c>
      <c r="D53" s="35" t="str">
        <f>IF(B53=C53,"PRESUPUESTO VALIDADO","CORREGIR DIFERENCIA")</f>
        <v>PRESUPUESTO VALIDADO</v>
      </c>
    </row>
  </sheetData>
  <mergeCells count="4">
    <mergeCell ref="A3:D3"/>
    <mergeCell ref="A16:D16"/>
    <mergeCell ref="A29:D29"/>
    <mergeCell ref="A42:D42"/>
  </mergeCells>
  <conditionalFormatting sqref="D14">
    <cfRule type="cellIs" dxfId="7" priority="7" stopIfTrue="1" operator="equal">
      <formula>"CORREGIR DIFERENCIA"</formula>
    </cfRule>
    <cfRule type="cellIs" dxfId="6" priority="8" stopIfTrue="1" operator="equal">
      <formula>"PRESUPUESTO VALIDADO"</formula>
    </cfRule>
  </conditionalFormatting>
  <conditionalFormatting sqref="D27">
    <cfRule type="cellIs" dxfId="5" priority="5" stopIfTrue="1" operator="equal">
      <formula>"CORREGIR DIFERENCIA"</formula>
    </cfRule>
    <cfRule type="cellIs" dxfId="4" priority="6" stopIfTrue="1" operator="equal">
      <formula>"PRESUPUESTO VALIDADO"</formula>
    </cfRule>
  </conditionalFormatting>
  <conditionalFormatting sqref="D40:D41">
    <cfRule type="cellIs" dxfId="3" priority="3" stopIfTrue="1" operator="equal">
      <formula>"CORREGIR DIFERENCIA"</formula>
    </cfRule>
    <cfRule type="cellIs" dxfId="2" priority="4" stopIfTrue="1" operator="equal">
      <formula>"PRESUPUESTO VALIDADO"</formula>
    </cfRule>
  </conditionalFormatting>
  <conditionalFormatting sqref="D53">
    <cfRule type="cellIs" dxfId="1" priority="1" stopIfTrue="1" operator="equal">
      <formula>"CORREGIR DIFERENCIA"</formula>
    </cfRule>
    <cfRule type="cellIs" dxfId="0" priority="2" stopIfTrue="1" operator="equal">
      <formula>"PRESUPUESTO VALIDADO"</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320A6865594E542AE6FFA3BA7F49FDA" ma:contentTypeVersion="13" ma:contentTypeDescription="Crear nuevo documento." ma:contentTypeScope="" ma:versionID="9c422ce6fd7d051c6e02c5858bd8e37a">
  <xsd:schema xmlns:xsd="http://www.w3.org/2001/XMLSchema" xmlns:xs="http://www.w3.org/2001/XMLSchema" xmlns:p="http://schemas.microsoft.com/office/2006/metadata/properties" xmlns:ns2="cb309ed8-a3ac-407a-ab90-334ab3a6400f" xmlns:ns3="fe7f5f9c-66a7-4a12-94f8-9f30ef7fcbb8" targetNamespace="http://schemas.microsoft.com/office/2006/metadata/properties" ma:root="true" ma:fieldsID="bdb87c78fc662a645898626995d5eb30" ns2:_="" ns3:_="">
    <xsd:import namespace="cb309ed8-a3ac-407a-ab90-334ab3a6400f"/>
    <xsd:import namespace="fe7f5f9c-66a7-4a12-94f8-9f30ef7fcbb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309ed8-a3ac-407a-ab90-334ab3a6400f"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e7f5f9c-66a7-4a12-94f8-9f30ef7fcbb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Props1.xml><?xml version="1.0" encoding="utf-8"?>
<ds:datastoreItem xmlns:ds="http://schemas.openxmlformats.org/officeDocument/2006/customXml" ds:itemID="{B53DE81D-4500-48A0-BFE4-AA7E4C87AE59}">
  <ds:schemaRefs>
    <ds:schemaRef ds:uri="http://schemas.microsoft.com/sharepoint/v3/contenttype/forms"/>
  </ds:schemaRefs>
</ds:datastoreItem>
</file>

<file path=customXml/itemProps2.xml><?xml version="1.0" encoding="utf-8"?>
<ds:datastoreItem xmlns:ds="http://schemas.openxmlformats.org/officeDocument/2006/customXml" ds:itemID="{EFBD5507-873F-4F5D-9FA3-A9D23FCB3A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309ed8-a3ac-407a-ab90-334ab3a6400f"/>
    <ds:schemaRef ds:uri="fe7f5f9c-66a7-4a12-94f8-9f30ef7fcb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D62D24F-0CAF-422A-9C7E-AE32F987D9A4}">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4</vt:i4>
      </vt:variant>
    </vt:vector>
  </HeadingPairs>
  <TitlesOfParts>
    <vt:vector size="12" baseType="lpstr">
      <vt:lpstr>PERSONAL</vt:lpstr>
      <vt:lpstr>EQUIPAMIENTO</vt:lpstr>
      <vt:lpstr>INFRAESTRUCTURA Y MOBILIARIO</vt:lpstr>
      <vt:lpstr>GASTOS OPERACION</vt:lpstr>
      <vt:lpstr>RESUMEN GASTOS OPERACION</vt:lpstr>
      <vt:lpstr>TOTAL</vt:lpstr>
      <vt:lpstr>REITEMIZACIONES FONDEF</vt:lpstr>
      <vt:lpstr>REITEMIZACIONES OTROS PPTOS</vt:lpstr>
      <vt:lpstr>EQUIPAMIENTO!Área_de_impresión</vt:lpstr>
      <vt:lpstr>'GASTOS OPERACION'!Área_de_impresión</vt:lpstr>
      <vt:lpstr>PERSONAL!Área_de_impresión</vt:lpstr>
      <vt:lpstr>TOTAL!Área_de_impresión</vt:lpstr>
    </vt:vector>
  </TitlesOfParts>
  <Manager>Juan Paulo Vega H.</Manager>
  <Company>CONICYT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Formato Planilla de Costos</dc:title>
  <dc:subject>XIII Concurso de Proyectos de I&amp;D de FONDEF</dc:subject>
  <dc:creator>FONDEF</dc:creator>
  <cp:keywords/>
  <dc:description/>
  <cp:lastModifiedBy>Nicolas Rodriguez Ansaldo (Alumno)</cp:lastModifiedBy>
  <cp:revision/>
  <dcterms:created xsi:type="dcterms:W3CDTF">1999-03-29T20:02:48Z</dcterms:created>
  <dcterms:modified xsi:type="dcterms:W3CDTF">2025-12-01T01:30:00Z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0x010100B2781F81DE184447A198CC3C02EF23D2</vt:lpwstr>
  </property>
  <property fmtid="{D5CDD505-2E9C-101B-9397-08002B2CF9AE}" pid="3" name="PublishingExpirationDate">
    <vt:lpwstr/>
  </property>
  <property fmtid="{D5CDD505-2E9C-101B-9397-08002B2CF9AE}" pid="4" name="PublishingStartDate">
    <vt:lpwstr/>
  </property>
  <property fmtid="{D5CDD505-2E9C-101B-9397-08002B2CF9AE}" pid="5" name="LikesCount">
    <vt:lpwstr/>
  </property>
  <property fmtid="{D5CDD505-2E9C-101B-9397-08002B2CF9AE}" pid="6" name="Ratings">
    <vt:lpwstr/>
  </property>
  <property fmtid="{D5CDD505-2E9C-101B-9397-08002B2CF9AE}" pid="7" name="LikedBy">
    <vt:lpwstr/>
  </property>
  <property fmtid="{D5CDD505-2E9C-101B-9397-08002B2CF9AE}" pid="8" name="RatedBy">
    <vt:lpwstr/>
  </property>
  <property fmtid="{D5CDD505-2E9C-101B-9397-08002B2CF9AE}" pid="9" name="xd_Signature">
    <vt:lpwstr/>
  </property>
  <property fmtid="{D5CDD505-2E9C-101B-9397-08002B2CF9AE}" pid="10" name="display_urn:schemas-microsoft-com:office:office#Editor">
    <vt:lpwstr>Pamela Reyes Davey</vt:lpwstr>
  </property>
  <property fmtid="{D5CDD505-2E9C-101B-9397-08002B2CF9AE}" pid="11" name="Order">
    <vt:lpwstr>144791500.000000</vt:lpwstr>
  </property>
  <property fmtid="{D5CDD505-2E9C-101B-9397-08002B2CF9AE}" pid="12" name="xd_ProgID">
    <vt:lpwstr/>
  </property>
  <property fmtid="{D5CDD505-2E9C-101B-9397-08002B2CF9AE}" pid="13" name="_ExtendedDescription">
    <vt:lpwstr/>
  </property>
  <property fmtid="{D5CDD505-2E9C-101B-9397-08002B2CF9AE}" pid="14" name="SharedWithUsers">
    <vt:lpwstr/>
  </property>
  <property fmtid="{D5CDD505-2E9C-101B-9397-08002B2CF9AE}" pid="15" name="display_urn:schemas-microsoft-com:office:office#Author">
    <vt:lpwstr>Pamela Reyes Davey</vt:lpwstr>
  </property>
  <property fmtid="{D5CDD505-2E9C-101B-9397-08002B2CF9AE}" pid="16" name="ComplianceAssetId">
    <vt:lpwstr/>
  </property>
  <property fmtid="{D5CDD505-2E9C-101B-9397-08002B2CF9AE}" pid="17" name="TemplateUrl">
    <vt:lpwstr/>
  </property>
  <property fmtid="{D5CDD505-2E9C-101B-9397-08002B2CF9AE}" pid="18" name="MediaLengthInSeconds">
    <vt:lpwstr/>
  </property>
</Properties>
</file>